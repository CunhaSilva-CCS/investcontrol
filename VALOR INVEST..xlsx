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lemiltonsilva/Documents/"/>
    </mc:Choice>
  </mc:AlternateContent>
  <xr:revisionPtr revIDLastSave="0" documentId="8_{E9A43F46-76E5-B149-B1B9-5FA5F84ECEC5}" xr6:coauthVersionLast="47" xr6:coauthVersionMax="47" xr10:uidLastSave="{00000000-0000-0000-0000-000000000000}"/>
  <bookViews>
    <workbookView xWindow="0" yWindow="660" windowWidth="30240" windowHeight="18980" xr2:uid="{3AF85CF6-4FF8-754B-A718-73E59F2693DA}"/>
  </bookViews>
  <sheets>
    <sheet name="2026" sheetId="1" r:id="rId1"/>
    <sheet name="2025" sheetId="2" r:id="rId2"/>
    <sheet name="2024" sheetId="3" r:id="rId3"/>
  </sheet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49" i="3" l="1"/>
  <c r="B49" i="3"/>
  <c r="E48" i="3"/>
  <c r="E47" i="3"/>
  <c r="Z40" i="3"/>
  <c r="X40" i="3"/>
  <c r="Y40" i="3" s="1"/>
  <c r="V40" i="3"/>
  <c r="W40" i="3" s="1"/>
  <c r="T40" i="3"/>
  <c r="U40" i="3" s="1"/>
  <c r="R40" i="3"/>
  <c r="S40" i="3" s="1"/>
  <c r="P40" i="3"/>
  <c r="Q40" i="3" s="1"/>
  <c r="N40" i="3"/>
  <c r="O40" i="3" s="1"/>
  <c r="L40" i="3"/>
  <c r="M40" i="3" s="1"/>
  <c r="J40" i="3"/>
  <c r="K40" i="3" s="1"/>
  <c r="H40" i="3"/>
  <c r="I40" i="3" s="1"/>
  <c r="F40" i="3"/>
  <c r="G40" i="3" s="1"/>
  <c r="D40" i="3"/>
  <c r="E40" i="3" s="1"/>
  <c r="B40" i="3"/>
  <c r="C40" i="3" s="1"/>
  <c r="I38" i="3"/>
  <c r="G38" i="3"/>
  <c r="E38" i="3"/>
  <c r="C38" i="3"/>
  <c r="Y37" i="3"/>
  <c r="W37" i="3"/>
  <c r="U37" i="3"/>
  <c r="S37" i="3"/>
  <c r="Q37" i="3"/>
  <c r="O37" i="3"/>
  <c r="M37" i="3"/>
  <c r="K37" i="3"/>
  <c r="I37" i="3"/>
  <c r="G37" i="3"/>
  <c r="E37" i="3"/>
  <c r="C37" i="3"/>
  <c r="Y36" i="3"/>
  <c r="W36" i="3"/>
  <c r="U36" i="3"/>
  <c r="S36" i="3"/>
  <c r="Q36" i="3"/>
  <c r="O36" i="3"/>
  <c r="M36" i="3"/>
  <c r="K36" i="3"/>
  <c r="I36" i="3"/>
  <c r="G36" i="3"/>
  <c r="E36" i="3"/>
  <c r="C36" i="3"/>
  <c r="Z33" i="3"/>
  <c r="X33" i="3"/>
  <c r="V33" i="3"/>
  <c r="T33" i="3"/>
  <c r="U33" i="3" s="1"/>
  <c r="N33" i="3"/>
  <c r="L33" i="3"/>
  <c r="M33" i="3" s="1"/>
  <c r="J33" i="3"/>
  <c r="H33" i="3"/>
  <c r="F33" i="3"/>
  <c r="D33" i="3"/>
  <c r="B33" i="3"/>
  <c r="C33" i="3" s="1"/>
  <c r="R32" i="3"/>
  <c r="R33" i="3" s="1"/>
  <c r="P32" i="3"/>
  <c r="P33" i="3" s="1"/>
  <c r="O33" i="3" s="1"/>
  <c r="I31" i="3"/>
  <c r="G31" i="3"/>
  <c r="E31" i="3"/>
  <c r="C31" i="3"/>
  <c r="Y30" i="3"/>
  <c r="W30" i="3"/>
  <c r="U30" i="3"/>
  <c r="S30" i="3"/>
  <c r="Q30" i="3"/>
  <c r="O30" i="3"/>
  <c r="M30" i="3"/>
  <c r="K30" i="3"/>
  <c r="I30" i="3"/>
  <c r="G30" i="3"/>
  <c r="E30" i="3"/>
  <c r="C30" i="3"/>
  <c r="Y29" i="3"/>
  <c r="W29" i="3"/>
  <c r="U29" i="3"/>
  <c r="S29" i="3"/>
  <c r="Q29" i="3"/>
  <c r="O29" i="3"/>
  <c r="M29" i="3"/>
  <c r="K29" i="3"/>
  <c r="I29" i="3"/>
  <c r="G29" i="3"/>
  <c r="E29" i="3"/>
  <c r="C29" i="3"/>
  <c r="Y24" i="3"/>
  <c r="W24" i="3"/>
  <c r="U24" i="3"/>
  <c r="S24" i="3"/>
  <c r="Q24" i="3"/>
  <c r="O24" i="3"/>
  <c r="M24" i="3"/>
  <c r="K24" i="3"/>
  <c r="I24" i="3"/>
  <c r="G24" i="3"/>
  <c r="E24" i="3"/>
  <c r="C24" i="3"/>
  <c r="Z23" i="3"/>
  <c r="Y23" i="3" s="1"/>
  <c r="X23" i="3"/>
  <c r="V23" i="3"/>
  <c r="R23" i="3"/>
  <c r="P23" i="3"/>
  <c r="Q23" i="3" s="1"/>
  <c r="N23" i="3"/>
  <c r="O23" i="3" s="1"/>
  <c r="L23" i="3"/>
  <c r="M23" i="3" s="1"/>
  <c r="J23" i="3"/>
  <c r="K23" i="3" s="1"/>
  <c r="H23" i="3"/>
  <c r="I23" i="3" s="1"/>
  <c r="F23" i="3"/>
  <c r="D23" i="3"/>
  <c r="E23" i="3" s="1"/>
  <c r="B23" i="3"/>
  <c r="C23" i="3" s="1"/>
  <c r="T22" i="3"/>
  <c r="T23" i="3" s="1"/>
  <c r="S23" i="3" s="1"/>
  <c r="I21" i="3"/>
  <c r="G21" i="3"/>
  <c r="E21" i="3"/>
  <c r="C21" i="3"/>
  <c r="Y20" i="3"/>
  <c r="W20" i="3"/>
  <c r="U20" i="3"/>
  <c r="S20" i="3"/>
  <c r="Q20" i="3"/>
  <c r="O20" i="3"/>
  <c r="M20" i="3"/>
  <c r="K20" i="3"/>
  <c r="I20" i="3"/>
  <c r="G20" i="3"/>
  <c r="E20" i="3"/>
  <c r="C20" i="3"/>
  <c r="Y19" i="3"/>
  <c r="W19" i="3"/>
  <c r="U19" i="3"/>
  <c r="S19" i="3"/>
  <c r="Q19" i="3"/>
  <c r="O19" i="3"/>
  <c r="M19" i="3"/>
  <c r="K19" i="3"/>
  <c r="I19" i="3"/>
  <c r="G19" i="3"/>
  <c r="E19" i="3"/>
  <c r="C19" i="3"/>
  <c r="Y18" i="3"/>
  <c r="W18" i="3"/>
  <c r="U18" i="3"/>
  <c r="S18" i="3"/>
  <c r="Q18" i="3"/>
  <c r="O18" i="3"/>
  <c r="M18" i="3"/>
  <c r="K18" i="3"/>
  <c r="I18" i="3"/>
  <c r="G18" i="3"/>
  <c r="E18" i="3"/>
  <c r="C18" i="3"/>
  <c r="Y17" i="3"/>
  <c r="W17" i="3"/>
  <c r="U17" i="3"/>
  <c r="S17" i="3"/>
  <c r="Q17" i="3"/>
  <c r="O17" i="3"/>
  <c r="M17" i="3"/>
  <c r="K17" i="3"/>
  <c r="I17" i="3"/>
  <c r="G17" i="3"/>
  <c r="E17" i="3"/>
  <c r="C17" i="3"/>
  <c r="Z16" i="3"/>
  <c r="X16" i="3"/>
  <c r="Y16" i="3" s="1"/>
  <c r="V16" i="3"/>
  <c r="W16" i="3" s="1"/>
  <c r="T16" i="3"/>
  <c r="U16" i="3" s="1"/>
  <c r="R16" i="3"/>
  <c r="S16" i="3" s="1"/>
  <c r="P16" i="3"/>
  <c r="Q16" i="3" s="1"/>
  <c r="N16" i="3"/>
  <c r="O16" i="3" s="1"/>
  <c r="L16" i="3"/>
  <c r="M16" i="3" s="1"/>
  <c r="J16" i="3"/>
  <c r="K16" i="3" s="1"/>
  <c r="H16" i="3"/>
  <c r="I16" i="3" s="1"/>
  <c r="F16" i="3"/>
  <c r="D16" i="3"/>
  <c r="B16" i="3"/>
  <c r="Y14" i="3"/>
  <c r="W14" i="3"/>
  <c r="U14" i="3"/>
  <c r="S14" i="3"/>
  <c r="Q14" i="3"/>
  <c r="O14" i="3"/>
  <c r="M14" i="3"/>
  <c r="K14" i="3"/>
  <c r="I14" i="3"/>
  <c r="G14" i="3"/>
  <c r="E14" i="3"/>
  <c r="C14" i="3"/>
  <c r="Y13" i="3"/>
  <c r="W13" i="3"/>
  <c r="U13" i="3"/>
  <c r="S13" i="3"/>
  <c r="Q13" i="3"/>
  <c r="O13" i="3"/>
  <c r="M13" i="3"/>
  <c r="K13" i="3"/>
  <c r="I13" i="3"/>
  <c r="G13" i="3"/>
  <c r="E13" i="3"/>
  <c r="C13" i="3"/>
  <c r="Y12" i="3"/>
  <c r="W12" i="3"/>
  <c r="U12" i="3"/>
  <c r="S12" i="3"/>
  <c r="Q12" i="3"/>
  <c r="O12" i="3"/>
  <c r="M12" i="3"/>
  <c r="K12" i="3"/>
  <c r="I12" i="3"/>
  <c r="G12" i="3"/>
  <c r="E12" i="3"/>
  <c r="C12" i="3"/>
  <c r="Y11" i="3"/>
  <c r="W11" i="3"/>
  <c r="U11" i="3"/>
  <c r="S11" i="3"/>
  <c r="Q11" i="3"/>
  <c r="O11" i="3"/>
  <c r="M11" i="3"/>
  <c r="K11" i="3"/>
  <c r="I11" i="3"/>
  <c r="G11" i="3"/>
  <c r="E11" i="3"/>
  <c r="C11" i="3"/>
  <c r="Y10" i="3"/>
  <c r="W10" i="3"/>
  <c r="U10" i="3"/>
  <c r="S10" i="3"/>
  <c r="Q10" i="3"/>
  <c r="O10" i="3"/>
  <c r="M10" i="3"/>
  <c r="K10" i="3"/>
  <c r="I10" i="3"/>
  <c r="G10" i="3"/>
  <c r="E10" i="3"/>
  <c r="C10" i="3"/>
  <c r="Z9" i="3"/>
  <c r="Z25" i="3" s="1"/>
  <c r="X9" i="3"/>
  <c r="V9" i="3"/>
  <c r="T9" i="3"/>
  <c r="R9" i="3"/>
  <c r="P9" i="3"/>
  <c r="P25" i="3" s="1"/>
  <c r="N9" i="3"/>
  <c r="L9" i="3"/>
  <c r="L25" i="3" s="1"/>
  <c r="J9" i="3"/>
  <c r="H9" i="3"/>
  <c r="F9" i="3"/>
  <c r="D9" i="3"/>
  <c r="B9" i="3"/>
  <c r="I7" i="3"/>
  <c r="G7" i="3"/>
  <c r="E7" i="3"/>
  <c r="C7" i="3"/>
  <c r="Y6" i="3"/>
  <c r="W6" i="3"/>
  <c r="U6" i="3"/>
  <c r="S6" i="3"/>
  <c r="Q6" i="3"/>
  <c r="O6" i="3"/>
  <c r="M6" i="3"/>
  <c r="K6" i="3"/>
  <c r="I6" i="3"/>
  <c r="G6" i="3"/>
  <c r="E6" i="3"/>
  <c r="C6" i="3"/>
  <c r="Y5" i="3"/>
  <c r="W5" i="3"/>
  <c r="U5" i="3"/>
  <c r="S5" i="3"/>
  <c r="Q5" i="3"/>
  <c r="O5" i="3"/>
  <c r="M5" i="3"/>
  <c r="K5" i="3"/>
  <c r="I5" i="3"/>
  <c r="G5" i="3"/>
  <c r="E5" i="3"/>
  <c r="C5" i="3"/>
  <c r="Y4" i="3"/>
  <c r="W4" i="3"/>
  <c r="U4" i="3"/>
  <c r="K4" i="3"/>
  <c r="I4" i="3"/>
  <c r="G4" i="3"/>
  <c r="E4" i="3"/>
  <c r="C4" i="3"/>
  <c r="Y3" i="3"/>
  <c r="W3" i="3"/>
  <c r="U3" i="3"/>
  <c r="S3" i="3"/>
  <c r="Q3" i="3"/>
  <c r="O3" i="3"/>
  <c r="M3" i="3"/>
  <c r="K3" i="3"/>
  <c r="I3" i="3"/>
  <c r="G3" i="3"/>
  <c r="E3" i="3"/>
  <c r="C3" i="3"/>
  <c r="D61" i="2"/>
  <c r="B61" i="2"/>
  <c r="E60" i="2"/>
  <c r="Z53" i="2"/>
  <c r="X53" i="2"/>
  <c r="Y53" i="2" s="1"/>
  <c r="V53" i="2"/>
  <c r="W53" i="2" s="1"/>
  <c r="T53" i="2"/>
  <c r="U53" i="2" s="1"/>
  <c r="R53" i="2"/>
  <c r="S53" i="2" s="1"/>
  <c r="P53" i="2"/>
  <c r="Q53" i="2" s="1"/>
  <c r="N53" i="2"/>
  <c r="O53" i="2" s="1"/>
  <c r="L53" i="2"/>
  <c r="M53" i="2" s="1"/>
  <c r="J53" i="2"/>
  <c r="K53" i="2" s="1"/>
  <c r="H53" i="2"/>
  <c r="I53" i="2" s="1"/>
  <c r="F53" i="2"/>
  <c r="G53" i="2" s="1"/>
  <c r="D53" i="2"/>
  <c r="E53" i="2" s="1"/>
  <c r="B53" i="2"/>
  <c r="C53" i="2" s="1"/>
  <c r="I51" i="2"/>
  <c r="G51" i="2"/>
  <c r="E51" i="2"/>
  <c r="C51" i="2"/>
  <c r="Z48" i="2"/>
  <c r="X48" i="2"/>
  <c r="Y48" i="2" s="1"/>
  <c r="V48" i="2"/>
  <c r="W48" i="2" s="1"/>
  <c r="T48" i="2"/>
  <c r="U48" i="2" s="1"/>
  <c r="R48" i="2"/>
  <c r="S48" i="2" s="1"/>
  <c r="P48" i="2"/>
  <c r="Q48" i="2" s="1"/>
  <c r="N48" i="2"/>
  <c r="O48" i="2" s="1"/>
  <c r="L48" i="2"/>
  <c r="M48" i="2" s="1"/>
  <c r="J48" i="2"/>
  <c r="K48" i="2" s="1"/>
  <c r="H48" i="2"/>
  <c r="I48" i="2" s="1"/>
  <c r="F48" i="2"/>
  <c r="G48" i="2" s="1"/>
  <c r="D48" i="2"/>
  <c r="E48" i="2" s="1"/>
  <c r="B48" i="2"/>
  <c r="C48" i="2" s="1"/>
  <c r="I46" i="2"/>
  <c r="G46" i="2"/>
  <c r="E46" i="2"/>
  <c r="C46" i="2"/>
  <c r="Y45" i="2"/>
  <c r="W45" i="2"/>
  <c r="U45" i="2"/>
  <c r="S45" i="2"/>
  <c r="Q45" i="2"/>
  <c r="O45" i="2"/>
  <c r="M45" i="2"/>
  <c r="K45" i="2"/>
  <c r="I45" i="2"/>
  <c r="G45" i="2"/>
  <c r="E45" i="2"/>
  <c r="C45" i="2"/>
  <c r="Y44" i="2"/>
  <c r="W44" i="2"/>
  <c r="U44" i="2"/>
  <c r="S44" i="2"/>
  <c r="Q44" i="2"/>
  <c r="O44" i="2"/>
  <c r="M44" i="2"/>
  <c r="K44" i="2"/>
  <c r="I44" i="2"/>
  <c r="G44" i="2"/>
  <c r="E44" i="2"/>
  <c r="C44" i="2"/>
  <c r="Z41" i="2"/>
  <c r="T41" i="2"/>
  <c r="R41" i="2"/>
  <c r="S41" i="2" s="1"/>
  <c r="P41" i="2"/>
  <c r="Q41" i="2" s="1"/>
  <c r="N41" i="2"/>
  <c r="O41" i="2" s="1"/>
  <c r="L41" i="2"/>
  <c r="M41" i="2" s="1"/>
  <c r="J41" i="2"/>
  <c r="K41" i="2" s="1"/>
  <c r="H41" i="2"/>
  <c r="I41" i="2" s="1"/>
  <c r="F41" i="2"/>
  <c r="D41" i="2"/>
  <c r="B41" i="2"/>
  <c r="C41" i="2" s="1"/>
  <c r="X40" i="2"/>
  <c r="X41" i="2" s="1"/>
  <c r="V40" i="2"/>
  <c r="V41" i="2" s="1"/>
  <c r="U41" i="2" s="1"/>
  <c r="I39" i="2"/>
  <c r="G39" i="2"/>
  <c r="E39" i="2"/>
  <c r="C39" i="2"/>
  <c r="Y38" i="2"/>
  <c r="W38" i="2"/>
  <c r="U38" i="2"/>
  <c r="S38" i="2"/>
  <c r="Q38" i="2"/>
  <c r="O38" i="2"/>
  <c r="M38" i="2"/>
  <c r="K38" i="2"/>
  <c r="I38" i="2"/>
  <c r="G38" i="2"/>
  <c r="E38" i="2"/>
  <c r="C38" i="2"/>
  <c r="Y37" i="2"/>
  <c r="W37" i="2"/>
  <c r="U37" i="2"/>
  <c r="S37" i="2"/>
  <c r="Q37" i="2"/>
  <c r="O37" i="2"/>
  <c r="M37" i="2"/>
  <c r="K37" i="2"/>
  <c r="I37" i="2"/>
  <c r="G37" i="2"/>
  <c r="E37" i="2"/>
  <c r="C37" i="2"/>
  <c r="Z30" i="2"/>
  <c r="X30" i="2"/>
  <c r="Y30" i="2" s="1"/>
  <c r="V30" i="2"/>
  <c r="W30" i="2" s="1"/>
  <c r="T30" i="2"/>
  <c r="U30" i="2" s="1"/>
  <c r="R30" i="2"/>
  <c r="S30" i="2" s="1"/>
  <c r="P30" i="2"/>
  <c r="Q30" i="2" s="1"/>
  <c r="N30" i="2"/>
  <c r="O30" i="2" s="1"/>
  <c r="L30" i="2"/>
  <c r="M30" i="2" s="1"/>
  <c r="J30" i="2"/>
  <c r="K30" i="2" s="1"/>
  <c r="H30" i="2"/>
  <c r="I30" i="2" s="1"/>
  <c r="F30" i="2"/>
  <c r="G30" i="2" s="1"/>
  <c r="D30" i="2"/>
  <c r="E30" i="2" s="1"/>
  <c r="B30" i="2"/>
  <c r="C30" i="2" s="1"/>
  <c r="Y28" i="2"/>
  <c r="W28" i="2"/>
  <c r="U28" i="2"/>
  <c r="S28" i="2"/>
  <c r="Q28" i="2"/>
  <c r="I28" i="2"/>
  <c r="G28" i="2"/>
  <c r="E28" i="2"/>
  <c r="C28" i="2"/>
  <c r="Y27" i="2"/>
  <c r="W27" i="2"/>
  <c r="U27" i="2"/>
  <c r="S27" i="2"/>
  <c r="Q27" i="2"/>
  <c r="O27" i="2"/>
  <c r="M27" i="2"/>
  <c r="K27" i="2"/>
  <c r="I27" i="2"/>
  <c r="G27" i="2"/>
  <c r="E27" i="2"/>
  <c r="C27" i="2"/>
  <c r="Y26" i="2"/>
  <c r="W26" i="2"/>
  <c r="U26" i="2"/>
  <c r="S26" i="2"/>
  <c r="Q26" i="2"/>
  <c r="O26" i="2"/>
  <c r="M26" i="2"/>
  <c r="K26" i="2"/>
  <c r="I26" i="2"/>
  <c r="G26" i="2"/>
  <c r="E26" i="2"/>
  <c r="C26" i="2"/>
  <c r="Y24" i="2"/>
  <c r="W24" i="2"/>
  <c r="U24" i="2"/>
  <c r="S24" i="2"/>
  <c r="Q24" i="2"/>
  <c r="O24" i="2"/>
  <c r="M24" i="2"/>
  <c r="K24" i="2"/>
  <c r="I24" i="2"/>
  <c r="G24" i="2"/>
  <c r="E24" i="2"/>
  <c r="C24" i="2"/>
  <c r="Z23" i="2"/>
  <c r="Z33" i="2" s="1"/>
  <c r="X23" i="2"/>
  <c r="V23" i="2"/>
  <c r="W23" i="2" s="1"/>
  <c r="T23" i="2"/>
  <c r="R23" i="2"/>
  <c r="P23" i="2"/>
  <c r="N23" i="2"/>
  <c r="L23" i="2"/>
  <c r="J23" i="2"/>
  <c r="H23" i="2"/>
  <c r="F23" i="2"/>
  <c r="D23" i="2"/>
  <c r="B23" i="2"/>
  <c r="Y21" i="2"/>
  <c r="W21" i="2"/>
  <c r="U21" i="2"/>
  <c r="S21" i="2"/>
  <c r="Q21" i="2"/>
  <c r="I21" i="2"/>
  <c r="G21" i="2"/>
  <c r="E21" i="2"/>
  <c r="C21" i="2"/>
  <c r="Y20" i="2"/>
  <c r="W20" i="2"/>
  <c r="U20" i="2"/>
  <c r="S20" i="2"/>
  <c r="Q20" i="2"/>
  <c r="O20" i="2"/>
  <c r="M20" i="2"/>
  <c r="K20" i="2"/>
  <c r="I20" i="2"/>
  <c r="G20" i="2"/>
  <c r="E20" i="2"/>
  <c r="C20" i="2"/>
  <c r="Y19" i="2"/>
  <c r="W19" i="2"/>
  <c r="U19" i="2"/>
  <c r="S19" i="2"/>
  <c r="Q19" i="2"/>
  <c r="O19" i="2"/>
  <c r="M19" i="2"/>
  <c r="K19" i="2"/>
  <c r="I19" i="2"/>
  <c r="G19" i="2"/>
  <c r="E19" i="2"/>
  <c r="C19" i="2"/>
  <c r="Y18" i="2"/>
  <c r="W18" i="2"/>
  <c r="U18" i="2"/>
  <c r="S18" i="2"/>
  <c r="Q18" i="2"/>
  <c r="O18" i="2"/>
  <c r="M18" i="2"/>
  <c r="K18" i="2"/>
  <c r="I18" i="2"/>
  <c r="G18" i="2"/>
  <c r="E18" i="2"/>
  <c r="C18" i="2"/>
  <c r="Y17" i="2"/>
  <c r="W17" i="2"/>
  <c r="U17" i="2"/>
  <c r="S17" i="2"/>
  <c r="Q17" i="2"/>
  <c r="O17" i="2"/>
  <c r="M17" i="2"/>
  <c r="K17" i="2"/>
  <c r="I17" i="2"/>
  <c r="G17" i="2"/>
  <c r="E17" i="2"/>
  <c r="C17" i="2"/>
  <c r="Z16" i="2"/>
  <c r="X16" i="2"/>
  <c r="Y16" i="2" s="1"/>
  <c r="T16" i="2"/>
  <c r="R16" i="2"/>
  <c r="S16" i="2" s="1"/>
  <c r="P16" i="2"/>
  <c r="Q16" i="2" s="1"/>
  <c r="N16" i="2"/>
  <c r="O16" i="2" s="1"/>
  <c r="L16" i="2"/>
  <c r="M16" i="2" s="1"/>
  <c r="J16" i="2"/>
  <c r="K16" i="2" s="1"/>
  <c r="H16" i="2"/>
  <c r="I16" i="2" s="1"/>
  <c r="F16" i="2"/>
  <c r="G16" i="2" s="1"/>
  <c r="D16" i="2"/>
  <c r="E16" i="2" s="1"/>
  <c r="B16" i="2"/>
  <c r="C16" i="2" s="1"/>
  <c r="V15" i="2"/>
  <c r="V16" i="2" s="1"/>
  <c r="Y14" i="2"/>
  <c r="W14" i="2"/>
  <c r="U14" i="2"/>
  <c r="S14" i="2"/>
  <c r="Q14" i="2"/>
  <c r="O14" i="2"/>
  <c r="M14" i="2"/>
  <c r="K14" i="2"/>
  <c r="I14" i="2"/>
  <c r="G14" i="2"/>
  <c r="E14" i="2"/>
  <c r="C14" i="2"/>
  <c r="Y13" i="2"/>
  <c r="W13" i="2"/>
  <c r="U13" i="2"/>
  <c r="S13" i="2"/>
  <c r="Q13" i="2"/>
  <c r="O13" i="2"/>
  <c r="M13" i="2"/>
  <c r="K13" i="2"/>
  <c r="I13" i="2"/>
  <c r="G13" i="2"/>
  <c r="E13" i="2"/>
  <c r="C13" i="2"/>
  <c r="Y12" i="2"/>
  <c r="W12" i="2"/>
  <c r="U12" i="2"/>
  <c r="S12" i="2"/>
  <c r="Q12" i="2"/>
  <c r="O12" i="2"/>
  <c r="M12" i="2"/>
  <c r="K12" i="2"/>
  <c r="I12" i="2"/>
  <c r="G12" i="2"/>
  <c r="E12" i="2"/>
  <c r="C12" i="2"/>
  <c r="Y11" i="2"/>
  <c r="W11" i="2"/>
  <c r="U11" i="2"/>
  <c r="S11" i="2"/>
  <c r="Q11" i="2"/>
  <c r="O11" i="2"/>
  <c r="M11" i="2"/>
  <c r="K11" i="2"/>
  <c r="I11" i="2"/>
  <c r="G11" i="2"/>
  <c r="E11" i="2"/>
  <c r="C11" i="2"/>
  <c r="Y10" i="2"/>
  <c r="W10" i="2"/>
  <c r="U10" i="2"/>
  <c r="S10" i="2"/>
  <c r="Q10" i="2"/>
  <c r="O10" i="2"/>
  <c r="M10" i="2"/>
  <c r="K10" i="2"/>
  <c r="I10" i="2"/>
  <c r="G10" i="2"/>
  <c r="E10" i="2"/>
  <c r="C10" i="2"/>
  <c r="Z9" i="2"/>
  <c r="X9" i="2"/>
  <c r="Y9" i="2" s="1"/>
  <c r="V9" i="2"/>
  <c r="W9" i="2" s="1"/>
  <c r="T9" i="2"/>
  <c r="U9" i="2" s="1"/>
  <c r="R9" i="2"/>
  <c r="S9" i="2" s="1"/>
  <c r="P9" i="2"/>
  <c r="Q9" i="2" s="1"/>
  <c r="N9" i="2"/>
  <c r="O9" i="2" s="1"/>
  <c r="L9" i="2"/>
  <c r="M9" i="2" s="1"/>
  <c r="J9" i="2"/>
  <c r="K9" i="2" s="1"/>
  <c r="H9" i="2"/>
  <c r="I9" i="2" s="1"/>
  <c r="F9" i="2"/>
  <c r="G9" i="2" s="1"/>
  <c r="D9" i="2"/>
  <c r="E9" i="2" s="1"/>
  <c r="B9" i="2"/>
  <c r="C9" i="2" s="1"/>
  <c r="I7" i="2"/>
  <c r="G7" i="2"/>
  <c r="E7" i="2"/>
  <c r="C7" i="2"/>
  <c r="Y6" i="2"/>
  <c r="W6" i="2"/>
  <c r="U6" i="2"/>
  <c r="S6" i="2"/>
  <c r="Q6" i="2"/>
  <c r="O6" i="2"/>
  <c r="M6" i="2"/>
  <c r="K6" i="2"/>
  <c r="I6" i="2"/>
  <c r="G6" i="2"/>
  <c r="E6" i="2"/>
  <c r="C6" i="2"/>
  <c r="Y5" i="2"/>
  <c r="W5" i="2"/>
  <c r="U5" i="2"/>
  <c r="S5" i="2"/>
  <c r="Q5" i="2"/>
  <c r="O5" i="2"/>
  <c r="M5" i="2"/>
  <c r="K5" i="2"/>
  <c r="I5" i="2"/>
  <c r="G5" i="2"/>
  <c r="E5" i="2"/>
  <c r="C5" i="2"/>
  <c r="Y4" i="2"/>
  <c r="W4" i="2"/>
  <c r="U4" i="2"/>
  <c r="S4" i="2"/>
  <c r="Q4" i="2"/>
  <c r="O4" i="2"/>
  <c r="M4" i="2"/>
  <c r="K4" i="2"/>
  <c r="I4" i="2"/>
  <c r="G4" i="2"/>
  <c r="E4" i="2"/>
  <c r="C4" i="2"/>
  <c r="Y3" i="2"/>
  <c r="W3" i="2"/>
  <c r="U3" i="2"/>
  <c r="S3" i="2"/>
  <c r="Q3" i="2"/>
  <c r="O3" i="2"/>
  <c r="M3" i="2"/>
  <c r="K3" i="2"/>
  <c r="I3" i="2"/>
  <c r="G3" i="2"/>
  <c r="E3" i="2"/>
  <c r="C3" i="2"/>
  <c r="D62" i="1"/>
  <c r="B62" i="1"/>
  <c r="E61" i="1"/>
  <c r="Z54" i="1"/>
  <c r="X54" i="1"/>
  <c r="Y54" i="1" s="1"/>
  <c r="V54" i="1"/>
  <c r="W54" i="1" s="1"/>
  <c r="T54" i="1"/>
  <c r="U54" i="1" s="1"/>
  <c r="R54" i="1"/>
  <c r="S54" i="1" s="1"/>
  <c r="P54" i="1"/>
  <c r="Q54" i="1" s="1"/>
  <c r="N54" i="1"/>
  <c r="O54" i="1" s="1"/>
  <c r="L54" i="1"/>
  <c r="M54" i="1" s="1"/>
  <c r="J54" i="1"/>
  <c r="K54" i="1" s="1"/>
  <c r="H54" i="1"/>
  <c r="I54" i="1" s="1"/>
  <c r="F54" i="1"/>
  <c r="G54" i="1" s="1"/>
  <c r="D54" i="1"/>
  <c r="E54" i="1" s="1"/>
  <c r="B54" i="1"/>
  <c r="C54" i="1" s="1"/>
  <c r="I52" i="1"/>
  <c r="G52" i="1"/>
  <c r="E52" i="1"/>
  <c r="C52" i="1"/>
  <c r="Z49" i="1"/>
  <c r="X49" i="1"/>
  <c r="Y49" i="1" s="1"/>
  <c r="V49" i="1"/>
  <c r="W49" i="1" s="1"/>
  <c r="T49" i="1"/>
  <c r="U49" i="1" s="1"/>
  <c r="R49" i="1"/>
  <c r="S49" i="1" s="1"/>
  <c r="P49" i="1"/>
  <c r="Q49" i="1" s="1"/>
  <c r="N49" i="1"/>
  <c r="O49" i="1" s="1"/>
  <c r="L49" i="1"/>
  <c r="M49" i="1" s="1"/>
  <c r="J49" i="1"/>
  <c r="K49" i="1" s="1"/>
  <c r="H49" i="1"/>
  <c r="I49" i="1" s="1"/>
  <c r="F49" i="1"/>
  <c r="G49" i="1" s="1"/>
  <c r="D49" i="1"/>
  <c r="E49" i="1" s="1"/>
  <c r="B49" i="1"/>
  <c r="C49" i="1" s="1"/>
  <c r="I47" i="1"/>
  <c r="G47" i="1"/>
  <c r="E47" i="1"/>
  <c r="C47" i="1"/>
  <c r="Y46" i="1"/>
  <c r="W46" i="1"/>
  <c r="U46" i="1"/>
  <c r="S46" i="1"/>
  <c r="Q46" i="1"/>
  <c r="O46" i="1"/>
  <c r="M46" i="1"/>
  <c r="K46" i="1"/>
  <c r="I46" i="1"/>
  <c r="G46" i="1"/>
  <c r="E46" i="1"/>
  <c r="C46" i="1"/>
  <c r="Y45" i="1"/>
  <c r="W45" i="1"/>
  <c r="U45" i="1"/>
  <c r="S45" i="1"/>
  <c r="Q45" i="1"/>
  <c r="O45" i="1"/>
  <c r="M45" i="1"/>
  <c r="K45" i="1"/>
  <c r="I45" i="1"/>
  <c r="G45" i="1"/>
  <c r="E45" i="1"/>
  <c r="C45" i="1"/>
  <c r="Z42" i="1"/>
  <c r="X42" i="1"/>
  <c r="Y42" i="1" s="1"/>
  <c r="V42" i="1"/>
  <c r="W42" i="1" s="1"/>
  <c r="T42" i="1"/>
  <c r="U42" i="1" s="1"/>
  <c r="R42" i="1"/>
  <c r="S42" i="1" s="1"/>
  <c r="P42" i="1"/>
  <c r="Q42" i="1" s="1"/>
  <c r="N42" i="1"/>
  <c r="O42" i="1" s="1"/>
  <c r="L42" i="1"/>
  <c r="M42" i="1" s="1"/>
  <c r="B42" i="1"/>
  <c r="J41" i="1"/>
  <c r="J42" i="1" s="1"/>
  <c r="H41" i="1"/>
  <c r="H42" i="1" s="1"/>
  <c r="F41" i="1"/>
  <c r="F42" i="1" s="1"/>
  <c r="D41" i="1"/>
  <c r="D42" i="1" s="1"/>
  <c r="C42" i="1" s="1"/>
  <c r="I40" i="1"/>
  <c r="G40" i="1"/>
  <c r="E40" i="1"/>
  <c r="C40" i="1"/>
  <c r="Y39" i="1"/>
  <c r="W39" i="1"/>
  <c r="U39" i="1"/>
  <c r="S39" i="1"/>
  <c r="Q39" i="1"/>
  <c r="O39" i="1"/>
  <c r="M39" i="1"/>
  <c r="K39" i="1"/>
  <c r="I39" i="1"/>
  <c r="G39" i="1"/>
  <c r="E39" i="1"/>
  <c r="C39" i="1"/>
  <c r="Y38" i="1"/>
  <c r="W38" i="1"/>
  <c r="U38" i="1"/>
  <c r="S38" i="1"/>
  <c r="Q38" i="1"/>
  <c r="O38" i="1"/>
  <c r="M38" i="1"/>
  <c r="K38" i="1"/>
  <c r="I38" i="1"/>
  <c r="G38" i="1"/>
  <c r="E38" i="1"/>
  <c r="C38" i="1"/>
  <c r="Z31" i="1"/>
  <c r="X31" i="1"/>
  <c r="Y31" i="1" s="1"/>
  <c r="V31" i="1"/>
  <c r="W31" i="1" s="1"/>
  <c r="T31" i="1"/>
  <c r="U31" i="1" s="1"/>
  <c r="R31" i="1"/>
  <c r="S31" i="1" s="1"/>
  <c r="J31" i="1"/>
  <c r="H31" i="1"/>
  <c r="I31" i="1" s="1"/>
  <c r="F31" i="1"/>
  <c r="G31" i="1" s="1"/>
  <c r="D31" i="1"/>
  <c r="E31" i="1" s="1"/>
  <c r="B31" i="1"/>
  <c r="C31" i="1" s="1"/>
  <c r="P30" i="1"/>
  <c r="P31" i="1" s="1"/>
  <c r="N30" i="1"/>
  <c r="N31" i="1" s="1"/>
  <c r="L30" i="1"/>
  <c r="L31" i="1" s="1"/>
  <c r="K31" i="1" s="1"/>
  <c r="Y29" i="1"/>
  <c r="W29" i="1"/>
  <c r="U29" i="1"/>
  <c r="S29" i="1"/>
  <c r="Q29" i="1"/>
  <c r="O29" i="1"/>
  <c r="M29" i="1"/>
  <c r="I29" i="1"/>
  <c r="G29" i="1"/>
  <c r="E29" i="1"/>
  <c r="C29" i="1"/>
  <c r="Y28" i="1"/>
  <c r="W28" i="1"/>
  <c r="U28" i="1"/>
  <c r="S28" i="1"/>
  <c r="Q28" i="1"/>
  <c r="O28" i="1"/>
  <c r="M28" i="1"/>
  <c r="I28" i="1"/>
  <c r="G28" i="1"/>
  <c r="E28" i="1"/>
  <c r="C28" i="1"/>
  <c r="Y27" i="1"/>
  <c r="W27" i="1"/>
  <c r="U27" i="1"/>
  <c r="S27" i="1"/>
  <c r="Q27" i="1"/>
  <c r="O27" i="1"/>
  <c r="M27" i="1"/>
  <c r="K27" i="1"/>
  <c r="I27" i="1"/>
  <c r="G27" i="1"/>
  <c r="E27" i="1"/>
  <c r="C27" i="1"/>
  <c r="Y26" i="1"/>
  <c r="W26" i="1"/>
  <c r="U26" i="1"/>
  <c r="S26" i="1"/>
  <c r="Q26" i="1"/>
  <c r="O26" i="1"/>
  <c r="M26" i="1"/>
  <c r="K26" i="1"/>
  <c r="I26" i="1"/>
  <c r="G26" i="1"/>
  <c r="E26" i="1"/>
  <c r="C26" i="1"/>
  <c r="Y24" i="1"/>
  <c r="W24" i="1"/>
  <c r="U24" i="1"/>
  <c r="S24" i="1"/>
  <c r="Q24" i="1"/>
  <c r="O24" i="1"/>
  <c r="M24" i="1"/>
  <c r="K24" i="1"/>
  <c r="I24" i="1"/>
  <c r="G24" i="1"/>
  <c r="E24" i="1"/>
  <c r="C24" i="1"/>
  <c r="Z23" i="1"/>
  <c r="Y23" i="1" s="1"/>
  <c r="X23" i="1"/>
  <c r="V23" i="1"/>
  <c r="T23" i="1"/>
  <c r="R23" i="1"/>
  <c r="S23" i="1" s="1"/>
  <c r="P23" i="1"/>
  <c r="Q23" i="1" s="1"/>
  <c r="L23" i="1"/>
  <c r="J23" i="1"/>
  <c r="H23" i="1"/>
  <c r="F23" i="1"/>
  <c r="D23" i="1"/>
  <c r="B23" i="1"/>
  <c r="N22" i="1"/>
  <c r="N23" i="1" s="1"/>
  <c r="Y21" i="1"/>
  <c r="W21" i="1"/>
  <c r="U21" i="1"/>
  <c r="S21" i="1"/>
  <c r="Q21" i="1"/>
  <c r="O21" i="1"/>
  <c r="M21" i="1"/>
  <c r="I21" i="1"/>
  <c r="G21" i="1"/>
  <c r="E21" i="1"/>
  <c r="C21" i="1"/>
  <c r="Y20" i="1"/>
  <c r="W20" i="1"/>
  <c r="U20" i="1"/>
  <c r="S20" i="1"/>
  <c r="Q20" i="1"/>
  <c r="O20" i="1"/>
  <c r="M20" i="1"/>
  <c r="K20" i="1"/>
  <c r="I20" i="1"/>
  <c r="G20" i="1"/>
  <c r="E20" i="1"/>
  <c r="C20" i="1"/>
  <c r="Y19" i="1"/>
  <c r="W19" i="1"/>
  <c r="U19" i="1"/>
  <c r="S19" i="1"/>
  <c r="Q19" i="1"/>
  <c r="O19" i="1"/>
  <c r="M19" i="1"/>
  <c r="K19" i="1"/>
  <c r="I19" i="1"/>
  <c r="G19" i="1"/>
  <c r="E19" i="1"/>
  <c r="C19" i="1"/>
  <c r="Y18" i="1"/>
  <c r="W18" i="1"/>
  <c r="U18" i="1"/>
  <c r="S18" i="1"/>
  <c r="Q18" i="1"/>
  <c r="O18" i="1"/>
  <c r="M18" i="1"/>
  <c r="K18" i="1"/>
  <c r="I18" i="1"/>
  <c r="G18" i="1"/>
  <c r="E18" i="1"/>
  <c r="C18" i="1"/>
  <c r="Y17" i="1"/>
  <c r="W17" i="1"/>
  <c r="U17" i="1"/>
  <c r="S17" i="1"/>
  <c r="Q17" i="1"/>
  <c r="O17" i="1"/>
  <c r="M17" i="1"/>
  <c r="K17" i="1"/>
  <c r="I17" i="1"/>
  <c r="G17" i="1"/>
  <c r="E17" i="1"/>
  <c r="C17" i="1"/>
  <c r="Z16" i="1"/>
  <c r="X16" i="1"/>
  <c r="Y16" i="1" s="1"/>
  <c r="V16" i="1"/>
  <c r="W16" i="1" s="1"/>
  <c r="T16" i="1"/>
  <c r="U16" i="1" s="1"/>
  <c r="R16" i="1"/>
  <c r="S16" i="1" s="1"/>
  <c r="P16" i="1"/>
  <c r="Q16" i="1" s="1"/>
  <c r="N16" i="1"/>
  <c r="O16" i="1" s="1"/>
  <c r="L16" i="1"/>
  <c r="M16" i="1" s="1"/>
  <c r="J16" i="1"/>
  <c r="K16" i="1" s="1"/>
  <c r="H16" i="1"/>
  <c r="I16" i="1" s="1"/>
  <c r="F16" i="1"/>
  <c r="G16" i="1" s="1"/>
  <c r="D16" i="1"/>
  <c r="E16" i="1" s="1"/>
  <c r="B16" i="1"/>
  <c r="C16" i="1" s="1"/>
  <c r="Y14" i="1"/>
  <c r="W14" i="1"/>
  <c r="U14" i="1"/>
  <c r="S14" i="1"/>
  <c r="Q14" i="1"/>
  <c r="O14" i="1"/>
  <c r="M14" i="1"/>
  <c r="K14" i="1"/>
  <c r="I14" i="1"/>
  <c r="G14" i="1"/>
  <c r="E14" i="1"/>
  <c r="C14" i="1"/>
  <c r="Y13" i="1"/>
  <c r="W13" i="1"/>
  <c r="U13" i="1"/>
  <c r="S13" i="1"/>
  <c r="Q13" i="1"/>
  <c r="O13" i="1"/>
  <c r="M13" i="1"/>
  <c r="K13" i="1"/>
  <c r="I13" i="1"/>
  <c r="G13" i="1"/>
  <c r="E13" i="1"/>
  <c r="C13" i="1"/>
  <c r="Y12" i="1"/>
  <c r="W12" i="1"/>
  <c r="U12" i="1"/>
  <c r="S12" i="1"/>
  <c r="Q12" i="1"/>
  <c r="O12" i="1"/>
  <c r="M12" i="1"/>
  <c r="K12" i="1"/>
  <c r="I12" i="1"/>
  <c r="G12" i="1"/>
  <c r="E12" i="1"/>
  <c r="C12" i="1"/>
  <c r="Y11" i="1"/>
  <c r="W11" i="1"/>
  <c r="U11" i="1"/>
  <c r="S11" i="1"/>
  <c r="Q11" i="1"/>
  <c r="O11" i="1"/>
  <c r="M11" i="1"/>
  <c r="K11" i="1"/>
  <c r="I11" i="1"/>
  <c r="G11" i="1"/>
  <c r="E11" i="1"/>
  <c r="C11" i="1"/>
  <c r="Y10" i="1"/>
  <c r="W10" i="1"/>
  <c r="U10" i="1"/>
  <c r="S10" i="1"/>
  <c r="Q10" i="1"/>
  <c r="O10" i="1"/>
  <c r="M10" i="1"/>
  <c r="K10" i="1"/>
  <c r="I10" i="1"/>
  <c r="G10" i="1"/>
  <c r="E10" i="1"/>
  <c r="C10" i="1"/>
  <c r="Z9" i="1"/>
  <c r="X9" i="1"/>
  <c r="V9" i="1"/>
  <c r="T9" i="1"/>
  <c r="R9" i="1"/>
  <c r="P9" i="1"/>
  <c r="N9" i="1"/>
  <c r="L9" i="1"/>
  <c r="J9" i="1"/>
  <c r="H9" i="1"/>
  <c r="F9" i="1"/>
  <c r="D9" i="1"/>
  <c r="B9" i="1"/>
  <c r="I7" i="1"/>
  <c r="G7" i="1"/>
  <c r="E7" i="1"/>
  <c r="C7" i="1"/>
  <c r="Y6" i="1"/>
  <c r="W6" i="1"/>
  <c r="U6" i="1"/>
  <c r="S6" i="1"/>
  <c r="Q6" i="1"/>
  <c r="O6" i="1"/>
  <c r="M6" i="1"/>
  <c r="K6" i="1"/>
  <c r="I6" i="1"/>
  <c r="G6" i="1"/>
  <c r="E6" i="1"/>
  <c r="C6" i="1"/>
  <c r="Y5" i="1"/>
  <c r="W5" i="1"/>
  <c r="U5" i="1"/>
  <c r="S5" i="1"/>
  <c r="Q5" i="1"/>
  <c r="O5" i="1"/>
  <c r="M5" i="1"/>
  <c r="K5" i="1"/>
  <c r="I5" i="1"/>
  <c r="G5" i="1"/>
  <c r="E5" i="1"/>
  <c r="C5" i="1"/>
  <c r="Y4" i="1"/>
  <c r="W4" i="1"/>
  <c r="U4" i="1"/>
  <c r="S4" i="1"/>
  <c r="Q4" i="1"/>
  <c r="O4" i="1"/>
  <c r="M4" i="1"/>
  <c r="K4" i="1"/>
  <c r="I4" i="1"/>
  <c r="G4" i="1"/>
  <c r="E4" i="1"/>
  <c r="C4" i="1"/>
  <c r="Y3" i="1"/>
  <c r="W3" i="1"/>
  <c r="U3" i="1"/>
  <c r="S3" i="1"/>
  <c r="Q3" i="1"/>
  <c r="O3" i="1"/>
  <c r="M3" i="1"/>
  <c r="K3" i="1"/>
  <c r="I3" i="1"/>
  <c r="G3" i="1"/>
  <c r="E3" i="1"/>
  <c r="C3" i="1"/>
  <c r="G23" i="3" l="1"/>
  <c r="C16" i="3"/>
  <c r="I23" i="1"/>
  <c r="E42" i="1"/>
  <c r="W23" i="1"/>
  <c r="U23" i="1"/>
  <c r="G23" i="1"/>
  <c r="E23" i="1"/>
  <c r="C23" i="1"/>
  <c r="K23" i="1"/>
  <c r="B25" i="3"/>
  <c r="B43" i="3" s="1"/>
  <c r="Z34" i="1"/>
  <c r="W23" i="3"/>
  <c r="Y33" i="3"/>
  <c r="W33" i="3"/>
  <c r="I33" i="3"/>
  <c r="K33" i="3"/>
  <c r="G33" i="3"/>
  <c r="E33" i="3"/>
  <c r="Q33" i="3"/>
  <c r="S33" i="3"/>
  <c r="G16" i="3"/>
  <c r="E16" i="3"/>
  <c r="Z43" i="3"/>
  <c r="W9" i="3"/>
  <c r="X25" i="3"/>
  <c r="Y25" i="3" s="1"/>
  <c r="Y9" i="3"/>
  <c r="V25" i="3"/>
  <c r="U9" i="3"/>
  <c r="T25" i="3"/>
  <c r="S9" i="3"/>
  <c r="Q9" i="3"/>
  <c r="R25" i="3"/>
  <c r="P43" i="3"/>
  <c r="M9" i="3"/>
  <c r="O9" i="3"/>
  <c r="N25" i="3"/>
  <c r="O25" i="3" s="1"/>
  <c r="L43" i="3"/>
  <c r="K9" i="3"/>
  <c r="J25" i="3"/>
  <c r="K25" i="3" s="1"/>
  <c r="G9" i="3"/>
  <c r="I9" i="3"/>
  <c r="H25" i="3"/>
  <c r="E9" i="3"/>
  <c r="F25" i="3"/>
  <c r="C9" i="3"/>
  <c r="D25" i="3"/>
  <c r="E41" i="2"/>
  <c r="G41" i="2"/>
  <c r="Y41" i="2"/>
  <c r="W41" i="2"/>
  <c r="Z56" i="2"/>
  <c r="X33" i="2"/>
  <c r="Y33" i="2" s="1"/>
  <c r="Y23" i="2"/>
  <c r="T33" i="2"/>
  <c r="U23" i="2"/>
  <c r="R33" i="2"/>
  <c r="S23" i="2"/>
  <c r="Q23" i="2"/>
  <c r="P33" i="2"/>
  <c r="O23" i="2"/>
  <c r="N33" i="2"/>
  <c r="M23" i="2"/>
  <c r="L33" i="2"/>
  <c r="K23" i="2"/>
  <c r="J33" i="2"/>
  <c r="H33" i="2"/>
  <c r="I23" i="2"/>
  <c r="G23" i="2"/>
  <c r="F33" i="2"/>
  <c r="E23" i="2"/>
  <c r="D33" i="2"/>
  <c r="C23" i="2"/>
  <c r="B33" i="2"/>
  <c r="B56" i="2" s="1"/>
  <c r="W16" i="2"/>
  <c r="V33" i="2"/>
  <c r="U16" i="2"/>
  <c r="K42" i="1"/>
  <c r="I42" i="1"/>
  <c r="Q31" i="1"/>
  <c r="O31" i="1"/>
  <c r="M23" i="1"/>
  <c r="O23" i="1"/>
  <c r="Y9" i="1"/>
  <c r="X34" i="1"/>
  <c r="V34" i="1"/>
  <c r="W9" i="1"/>
  <c r="U9" i="1"/>
  <c r="T34" i="1"/>
  <c r="R34" i="1"/>
  <c r="S9" i="1"/>
  <c r="Q9" i="1"/>
  <c r="P34" i="1"/>
  <c r="O9" i="1"/>
  <c r="N34" i="1"/>
  <c r="M9" i="1"/>
  <c r="L34" i="1"/>
  <c r="K9" i="1"/>
  <c r="J34" i="1"/>
  <c r="I9" i="1"/>
  <c r="H34" i="1"/>
  <c r="F34" i="1"/>
  <c r="G9" i="1"/>
  <c r="D34" i="1"/>
  <c r="E9" i="1"/>
  <c r="B34" i="1"/>
  <c r="B57" i="1" s="1"/>
  <c r="C9" i="1"/>
  <c r="G42" i="1"/>
  <c r="M31" i="1"/>
  <c r="U23" i="3"/>
  <c r="Z57" i="1" l="1"/>
  <c r="Y34" i="1"/>
  <c r="X43" i="3"/>
  <c r="W25" i="3"/>
  <c r="V43" i="3"/>
  <c r="U25" i="3"/>
  <c r="S25" i="3"/>
  <c r="T43" i="3"/>
  <c r="R43" i="3"/>
  <c r="Q43" i="3" s="1"/>
  <c r="Q25" i="3"/>
  <c r="M25" i="3"/>
  <c r="N43" i="3"/>
  <c r="I25" i="3"/>
  <c r="J43" i="3"/>
  <c r="H43" i="3"/>
  <c r="G25" i="3"/>
  <c r="E25" i="3"/>
  <c r="F43" i="3"/>
  <c r="D43" i="3"/>
  <c r="C43" i="3" s="1"/>
  <c r="C25" i="3"/>
  <c r="X56" i="2"/>
  <c r="W33" i="2"/>
  <c r="T56" i="2"/>
  <c r="S33" i="2"/>
  <c r="R56" i="2"/>
  <c r="Q33" i="2"/>
  <c r="P56" i="2"/>
  <c r="O33" i="2"/>
  <c r="N56" i="2"/>
  <c r="M33" i="2"/>
  <c r="L56" i="2"/>
  <c r="K33" i="2"/>
  <c r="J56" i="2"/>
  <c r="I33" i="2"/>
  <c r="H56" i="2"/>
  <c r="G33" i="2"/>
  <c r="F56" i="2"/>
  <c r="E33" i="2"/>
  <c r="D56" i="2"/>
  <c r="C56" i="2" s="1"/>
  <c r="C33" i="2"/>
  <c r="V56" i="2"/>
  <c r="U33" i="2"/>
  <c r="X57" i="1"/>
  <c r="W34" i="1"/>
  <c r="V57" i="1"/>
  <c r="U34" i="1"/>
  <c r="T57" i="1"/>
  <c r="S34" i="1"/>
  <c r="R57" i="1"/>
  <c r="Q34" i="1"/>
  <c r="P57" i="1"/>
  <c r="O34" i="1"/>
  <c r="N57" i="1"/>
  <c r="M34" i="1"/>
  <c r="L57" i="1"/>
  <c r="K34" i="1"/>
  <c r="J57" i="1"/>
  <c r="I34" i="1"/>
  <c r="H57" i="1"/>
  <c r="G34" i="1"/>
  <c r="F57" i="1"/>
  <c r="E34" i="1"/>
  <c r="D57" i="1"/>
  <c r="C57" i="1" s="1"/>
  <c r="C34" i="1"/>
  <c r="E56" i="2" l="1"/>
  <c r="U56" i="2"/>
  <c r="S57" i="1"/>
  <c r="E57" i="1"/>
  <c r="Y43" i="3"/>
  <c r="W43" i="3"/>
  <c r="O43" i="3"/>
  <c r="M43" i="3"/>
  <c r="K43" i="3"/>
  <c r="I43" i="3"/>
  <c r="Y56" i="2"/>
  <c r="W56" i="2"/>
  <c r="Y57" i="1"/>
  <c r="W57" i="1"/>
  <c r="G43" i="3"/>
  <c r="E43" i="3"/>
  <c r="S56" i="2"/>
  <c r="Q56" i="2"/>
  <c r="O56" i="2"/>
  <c r="M56" i="2"/>
  <c r="K56" i="2"/>
  <c r="I56" i="2"/>
  <c r="U43" i="3"/>
  <c r="S43" i="3"/>
  <c r="U57" i="1"/>
  <c r="Q57" i="1"/>
  <c r="M57" i="1"/>
  <c r="G56" i="2"/>
  <c r="O57" i="1"/>
  <c r="K57" i="1"/>
  <c r="I57" i="1"/>
  <c r="G57" i="1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Autor desconhecido</author>
  </authors>
  <commentList>
    <comment ref="P32" authorId="0" shapeId="1025" xr:uid="{861622EE-2D5F-E244-B842-CE51FEDA8561}">
      <text>
        <r>
          <rPr>
            <sz val="10"/>
            <color theme="1"/>
            <rFont val="Liberation Sans"/>
          </rPr>
          <t>FORMULA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16</xdr:col>
                <xdr:colOff>190500</xdr:colOff>
                <xdr:row>30</xdr:row>
                <xdr:rowOff>38100</xdr:rowOff>
              </from>
              <to>
                <xdr:col>17</xdr:col>
                <xdr:colOff>609600</xdr:colOff>
                <xdr:row>35</xdr:row>
                <xdr:rowOff>88900</xdr:rowOff>
              </to>
            </anchor>
          </commentPr>
        </mc:Fallback>
      </mc:AlternateContent>
    </comment>
    <comment ref="R32" authorId="0" shapeId="1026" xr:uid="{04EF79C9-5695-4B44-ABE8-0DE5D5529E3B}">
      <text>
        <r>
          <rPr>
            <sz val="10"/>
            <color theme="1"/>
            <rFont val="Liberation Sans"/>
          </rPr>
          <t>FORMULA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18</xdr:col>
                <xdr:colOff>190500</xdr:colOff>
                <xdr:row>30</xdr:row>
                <xdr:rowOff>38100</xdr:rowOff>
              </from>
              <to>
                <xdr:col>19</xdr:col>
                <xdr:colOff>571500</xdr:colOff>
                <xdr:row>35</xdr:row>
                <xdr:rowOff>88900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<sst xmlns="http://purl.oclc.org/ooxml/spreadsheetml/main" count="388" uniqueCount="66">
  <si>
    <t>APLICAÇÃO</t>
  </si>
  <si>
    <t>VALOR DEZ. ANO ANT.</t>
  </si>
  <si>
    <t>RENT.
DEZ/JAN</t>
  </si>
  <si>
    <t>JAN</t>
  </si>
  <si>
    <t>RENT.
JAN/FEV</t>
  </si>
  <si>
    <t>FEV</t>
  </si>
  <si>
    <t>RENT.
FEV/MAR</t>
  </si>
  <si>
    <t>MAR</t>
  </si>
  <si>
    <t>RENT.
MAR/ABR</t>
  </si>
  <si>
    <t>ABR</t>
  </si>
  <si>
    <t>RENT.
ABR/MAI</t>
  </si>
  <si>
    <t>MAI</t>
  </si>
  <si>
    <t>RENT.
MAI/JUN</t>
  </si>
  <si>
    <t>JUN</t>
  </si>
  <si>
    <t>RENT.
JUN/JUL</t>
  </si>
  <si>
    <t>JUL</t>
  </si>
  <si>
    <t>RENT.
JUL/AGO</t>
  </si>
  <si>
    <t>AGO</t>
  </si>
  <si>
    <t>RENT.
AGO/SET</t>
  </si>
  <si>
    <t>SET</t>
  </si>
  <si>
    <t>RENT.
SET/OUT</t>
  </si>
  <si>
    <t>OUT</t>
  </si>
  <si>
    <t>RENT.
OUT/NOV</t>
  </si>
  <si>
    <t>NOV</t>
  </si>
  <si>
    <t>RENT.
NOV/DEZ</t>
  </si>
  <si>
    <t>DEZ</t>
  </si>
  <si>
    <t>CDB FIBRABM IPCA 8.25%</t>
  </si>
  <si>
    <t>CDB AGIBRABM 13,75%</t>
  </si>
  <si>
    <t>CDB FIBRABM IPCA 6,9%</t>
  </si>
  <si>
    <t>SALDO CONTA</t>
  </si>
  <si>
    <t>TOTAL ITAÚ</t>
  </si>
  <si>
    <t>SAFRA – RENDA FIXA</t>
  </si>
  <si>
    <t>TOTAL SAFRA</t>
  </si>
  <si>
    <t>XP – RENDA FIXA</t>
  </si>
  <si>
    <t>XP – COE</t>
  </si>
  <si>
    <t>FUNDO DE INVESTIMENTOS</t>
  </si>
  <si>
    <t>FUNDO IMOBILIÁRIO</t>
  </si>
  <si>
    <t>SALDO CONTA Inv.+Digital</t>
  </si>
  <si>
    <t>TOTAL XP 1</t>
  </si>
  <si>
    <t>LCA BNDES</t>
  </si>
  <si>
    <t>CDB BANCO XP</t>
  </si>
  <si>
    <t>BNP PARIBAS</t>
  </si>
  <si>
    <t>TREND INVESTBACK VI – LEGACY</t>
  </si>
  <si>
    <t>TOTAL XP 2</t>
  </si>
  <si>
    <t>TOTAL BR</t>
  </si>
  <si>
    <t>TOTAL millennium PTG</t>
  </si>
  <si>
    <t>LUX</t>
  </si>
  <si>
    <t>TOTAL SAFRA EUA</t>
  </si>
  <si>
    <t>TOTAL WISE</t>
  </si>
  <si>
    <t>TOTAL GERAL</t>
  </si>
  <si>
    <t>PLANILHA DE GANHOS</t>
  </si>
  <si>
    <t>VALOR ANTERIOR</t>
  </si>
  <si>
    <t>VALOR ATUAL</t>
  </si>
  <si>
    <t>Data atualização</t>
  </si>
  <si>
    <t>SAF PREV. CAP. MKT FICRF CP (LARISSA-SAFRA)</t>
  </si>
  <si>
    <t>29/06</t>
  </si>
  <si>
    <t>TOTAL</t>
  </si>
  <si>
    <t>SAFRA – OP. ESTRUTURADAS</t>
  </si>
  <si>
    <t>FUNDO IMGA MONEY MK-A</t>
  </si>
  <si>
    <t>29/11</t>
  </si>
  <si>
    <t>KINEA RF ABSOLUTO LP</t>
  </si>
  <si>
    <t>CDB VIA CERTA</t>
  </si>
  <si>
    <t>FUNDO IMOBOLIARIO</t>
  </si>
  <si>
    <t>TOTAL XP</t>
  </si>
  <si>
    <t>SECURITIES</t>
  </si>
  <si>
    <t>PREV. SAFRA PGBL FARADAY (LUCAS)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</si>
</sst>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0%"/>
    <numFmt numFmtId="166" formatCode="[$R$-416]&quot; &quot;#,##0.00;[Red]&quot;-&quot;[$R$-416]&quot; &quot;#,##0.00"/>
    <numFmt numFmtId="167" formatCode="#,##0.00&quot;  &quot;"/>
  </numFmts>
  <fonts count="17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sz val="10"/>
      <color rgb="FF000000"/>
      <name val="Liberation Sans1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i/>
      <sz val="16"/>
      <color theme="1"/>
      <name val="Liberation Sans"/>
    </font>
    <font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8"/>
      <color rgb="FF8EA9DB"/>
      <name val="Liberation Sans"/>
    </font>
    <font>
      <sz val="10"/>
      <color theme="1"/>
      <name val="Liberation Serif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A6"/>
        <bgColor rgb="FFFFFFA6"/>
      </patternFill>
    </fill>
    <fill>
      <patternFill patternType="solid">
        <fgColor rgb="FFFFF2CC"/>
        <bgColor rgb="FFFFF2CC"/>
      </patternFill>
    </fill>
    <fill>
      <patternFill patternType="solid">
        <fgColor rgb="FF3465A4"/>
        <bgColor rgb="FF3465A4"/>
      </patternFill>
    </fill>
    <fill>
      <patternFill patternType="solid">
        <fgColor rgb="FFB4C6E7"/>
        <bgColor rgb="FFB4C6E7"/>
      </patternFill>
    </fill>
    <fill>
      <patternFill patternType="solid">
        <fgColor rgb="FFB4C7DC"/>
        <bgColor rgb="FFB4C7DC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4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</borders>
  <cellStyleXfs count="35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0" borderId="0"/>
    <xf numFmtId="0" fontId="3" fillId="0" borderId="0"/>
    <xf numFmtId="0" fontId="5" fillId="0" borderId="0" applyNumberFormat="0" applyBorder="0" applyProtection="0"/>
    <xf numFmtId="0" fontId="6" fillId="6" borderId="0"/>
    <xf numFmtId="0" fontId="7" fillId="0" borderId="0"/>
    <xf numFmtId="0" fontId="8" fillId="7" borderId="0"/>
    <xf numFmtId="0" fontId="9" fillId="0" borderId="0">
      <alignment horizontal="center"/>
    </xf>
    <xf numFmtId="0" fontId="9" fillId="0" borderId="0">
      <alignment horizontal="center" textRotation="90"/>
    </xf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166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</cellStyleXfs>
  <cellXfs count="88">
    <xf numFmtId="0" fontId="0" fillId="0" borderId="0" xfId="0"/>
    <xf numFmtId="0" fontId="2" fillId="9" borderId="2" xfId="0" applyFont="1" applyFill="1" applyBorder="1" applyAlignment="1">
      <alignment horizontal="center" vertical="center" wrapText="1"/>
    </xf>
    <xf numFmtId="164" fontId="2" fillId="9" borderId="2" xfId="0" applyNumberFormat="1" applyFont="1" applyFill="1" applyBorder="1" applyAlignment="1">
      <alignment horizontal="center" vertical="center" wrapText="1"/>
    </xf>
    <xf numFmtId="164" fontId="2" fillId="10" borderId="2" xfId="0" applyNumberFormat="1" applyFont="1" applyFill="1" applyBorder="1" applyAlignment="1">
      <alignment horizontal="center" vertical="center" wrapText="1"/>
    </xf>
    <xf numFmtId="10" fontId="2" fillId="10" borderId="2" xfId="0" applyNumberFormat="1" applyFont="1" applyFill="1" applyBorder="1" applyAlignment="1">
      <alignment horizontal="center" vertical="center" wrapText="1"/>
    </xf>
    <xf numFmtId="165" fontId="2" fillId="10" borderId="2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2" fillId="11" borderId="2" xfId="0" applyFont="1" applyFill="1" applyBorder="1" applyAlignment="1">
      <alignment horizontal="left" vertical="center" wrapText="1"/>
    </xf>
    <xf numFmtId="164" fontId="2" fillId="11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0" fontId="2" fillId="11" borderId="2" xfId="0" applyNumberFormat="1" applyFont="1" applyFill="1" applyBorder="1" applyAlignment="1">
      <alignment horizontal="center" vertical="center" wrapText="1"/>
    </xf>
    <xf numFmtId="165" fontId="2" fillId="11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6" fontId="0" fillId="12" borderId="2" xfId="0" applyNumberForma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 wrapText="1"/>
    </xf>
    <xf numFmtId="164" fontId="0" fillId="10" borderId="2" xfId="0" applyNumberFormat="1" applyFill="1" applyBorder="1" applyAlignment="1">
      <alignment horizontal="center" vertical="center"/>
    </xf>
    <xf numFmtId="10" fontId="0" fillId="10" borderId="2" xfId="0" applyNumberFormat="1" applyFill="1" applyBorder="1" applyAlignment="1">
      <alignment horizontal="center" vertical="center"/>
    </xf>
    <xf numFmtId="165" fontId="0" fillId="10" borderId="2" xfId="0" applyNumberFormat="1" applyFill="1" applyBorder="1" applyAlignment="1">
      <alignment horizontal="center" vertical="center"/>
    </xf>
    <xf numFmtId="166" fontId="0" fillId="12" borderId="2" xfId="0" applyNumberForma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left" vertical="center" wrapText="1"/>
    </xf>
    <xf numFmtId="166" fontId="0" fillId="13" borderId="2" xfId="0" applyNumberFormat="1" applyFill="1" applyBorder="1" applyAlignment="1">
      <alignment horizontal="center" vertical="center"/>
    </xf>
    <xf numFmtId="164" fontId="0" fillId="13" borderId="2" xfId="0" applyNumberFormat="1" applyFill="1" applyBorder="1" applyAlignment="1">
      <alignment horizontal="center" vertical="center" wrapText="1"/>
    </xf>
    <xf numFmtId="164" fontId="0" fillId="13" borderId="2" xfId="0" applyNumberFormat="1" applyFill="1" applyBorder="1" applyAlignment="1">
      <alignment horizontal="center" vertical="center"/>
    </xf>
    <xf numFmtId="10" fontId="0" fillId="13" borderId="2" xfId="0" applyNumberFormat="1" applyFill="1" applyBorder="1" applyAlignment="1">
      <alignment horizontal="center" vertical="center"/>
    </xf>
    <xf numFmtId="165" fontId="0" fillId="13" borderId="2" xfId="0" applyNumberFormat="1" applyFill="1" applyBorder="1" applyAlignment="1">
      <alignment horizontal="center" vertical="center"/>
    </xf>
    <xf numFmtId="166" fontId="0" fillId="13" borderId="2" xfId="0" applyNumberForma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left" vertical="center" wrapText="1"/>
    </xf>
    <xf numFmtId="166" fontId="6" fillId="14" borderId="2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left" vertical="center" wrapText="1"/>
    </xf>
    <xf numFmtId="166" fontId="2" fillId="16" borderId="2" xfId="0" applyNumberFormat="1" applyFont="1" applyFill="1" applyBorder="1" applyAlignment="1">
      <alignment horizontal="center" vertical="center"/>
    </xf>
    <xf numFmtId="10" fontId="2" fillId="0" borderId="0" xfId="0" applyNumberFormat="1" applyFont="1"/>
    <xf numFmtId="0" fontId="2" fillId="0" borderId="0" xfId="0" applyFont="1"/>
    <xf numFmtId="0" fontId="15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5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67" fontId="0" fillId="12" borderId="2" xfId="0" applyNumberFormat="1" applyFill="1" applyBorder="1" applyAlignment="1">
      <alignment horizontal="center" vertical="center"/>
    </xf>
    <xf numFmtId="167" fontId="0" fillId="13" borderId="2" xfId="0" applyNumberForma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left" vertical="center" wrapText="1"/>
    </xf>
    <xf numFmtId="167" fontId="2" fillId="15" borderId="2" xfId="0" applyNumberFormat="1" applyFont="1" applyFill="1" applyBorder="1" applyAlignment="1">
      <alignment horizontal="center" vertical="center" wrapText="1"/>
    </xf>
    <xf numFmtId="164" fontId="2" fillId="15" borderId="2" xfId="0" applyNumberFormat="1" applyFont="1" applyFill="1" applyBorder="1" applyAlignment="1">
      <alignment horizontal="center" vertical="center" wrapText="1"/>
    </xf>
    <xf numFmtId="164" fontId="2" fillId="15" borderId="2" xfId="0" applyNumberFormat="1" applyFont="1" applyFill="1" applyBorder="1" applyAlignment="1">
      <alignment horizontal="center" vertical="center"/>
    </xf>
    <xf numFmtId="10" fontId="2" fillId="15" borderId="2" xfId="0" applyNumberFormat="1" applyFont="1" applyFill="1" applyBorder="1" applyAlignment="1">
      <alignment horizontal="center" vertical="center"/>
    </xf>
    <xf numFmtId="165" fontId="2" fillId="15" borderId="2" xfId="0" applyNumberFormat="1" applyFont="1" applyFill="1" applyBorder="1" applyAlignment="1">
      <alignment horizontal="center" vertical="center"/>
    </xf>
    <xf numFmtId="10" fontId="2" fillId="15" borderId="0" xfId="0" applyNumberFormat="1" applyFont="1" applyFill="1"/>
    <xf numFmtId="0" fontId="2" fillId="15" borderId="0" xfId="0" applyFont="1" applyFill="1"/>
    <xf numFmtId="0" fontId="2" fillId="0" borderId="3" xfId="0" applyFont="1" applyFill="1" applyBorder="1" applyAlignment="1">
      <alignment horizontal="left" vertical="center" wrapText="1"/>
    </xf>
    <xf numFmtId="167" fontId="2" fillId="0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/>
    </xf>
    <xf numFmtId="10" fontId="2" fillId="0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10" fontId="2" fillId="0" borderId="0" xfId="0" applyNumberFormat="1" applyFont="1" applyFill="1"/>
    <xf numFmtId="0" fontId="2" fillId="0" borderId="0" xfId="0" applyFont="1" applyFill="1"/>
    <xf numFmtId="164" fontId="0" fillId="15" borderId="2" xfId="0" applyNumberFormat="1" applyFill="1" applyBorder="1" applyAlignment="1">
      <alignment horizontal="center" vertical="center" wrapText="1"/>
    </xf>
    <xf numFmtId="164" fontId="0" fillId="15" borderId="2" xfId="0" applyNumberFormat="1" applyFill="1" applyBorder="1" applyAlignment="1">
      <alignment horizontal="center" vertical="center"/>
    </xf>
    <xf numFmtId="10" fontId="0" fillId="15" borderId="2" xfId="0" applyNumberFormat="1" applyFill="1" applyBorder="1" applyAlignment="1">
      <alignment horizontal="center" vertical="center"/>
    </xf>
    <xf numFmtId="165" fontId="0" fillId="15" borderId="2" xfId="0" applyNumberFormat="1" applyFill="1" applyBorder="1" applyAlignment="1">
      <alignment horizontal="center" vertical="center"/>
    </xf>
    <xf numFmtId="10" fontId="0" fillId="15" borderId="0" xfId="0" applyNumberFormat="1" applyFill="1"/>
    <xf numFmtId="0" fontId="0" fillId="15" borderId="0" xfId="0" applyFill="1"/>
    <xf numFmtId="0" fontId="6" fillId="14" borderId="3" xfId="0" applyFont="1" applyFill="1" applyBorder="1" applyAlignment="1">
      <alignment horizontal="left" vertical="center" wrapText="1"/>
    </xf>
    <xf numFmtId="167" fontId="6" fillId="1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2" fillId="9" borderId="2" xfId="0" applyNumberFormat="1" applyFont="1" applyFill="1" applyBorder="1" applyAlignment="1">
      <alignment vertical="center"/>
    </xf>
    <xf numFmtId="166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2" xfId="0" applyBorder="1" applyAlignment="1">
      <alignment vertical="center" wrapText="1"/>
    </xf>
    <xf numFmtId="166" fontId="0" fillId="17" borderId="2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12" borderId="2" xfId="0" applyNumberForma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 wrapText="1"/>
    </xf>
    <xf numFmtId="166" fontId="2" fillId="18" borderId="2" xfId="0" applyNumberFormat="1" applyFont="1" applyFill="1" applyBorder="1" applyAlignment="1">
      <alignment vertical="center"/>
    </xf>
    <xf numFmtId="166" fontId="2" fillId="18" borderId="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166" fontId="0" fillId="17" borderId="2" xfId="0" applyNumberFormat="1" applyFill="1" applyBorder="1" applyAlignment="1">
      <alignment horizontal="center" vertical="center"/>
    </xf>
    <xf numFmtId="164" fontId="2" fillId="10" borderId="2" xfId="0" applyNumberFormat="1" applyFont="1" applyFill="1" applyBorder="1" applyAlignment="1">
      <alignment horizontal="center" vertical="center"/>
    </xf>
    <xf numFmtId="10" fontId="2" fillId="10" borderId="2" xfId="0" applyNumberFormat="1" applyFont="1" applyFill="1" applyBorder="1" applyAlignment="1">
      <alignment horizontal="center" vertical="center"/>
    </xf>
    <xf numFmtId="165" fontId="2" fillId="10" borderId="2" xfId="0" applyNumberFormat="1" applyFont="1" applyFill="1" applyBorder="1" applyAlignment="1">
      <alignment horizontal="center" vertical="center"/>
    </xf>
  </cellXfs>
  <cellStyles count="35">
    <cellStyle name="Accent" xfId="1" xr:uid="{944D1B1F-4B1A-C447-B8E4-A2575E3DB5B0}"/>
    <cellStyle name="Accent 1" xfId="2" xr:uid="{7139B4F5-AE2F-EB4C-9552-B1A631D8AD45}"/>
    <cellStyle name="Accent 2" xfId="3" xr:uid="{FF941756-7A3C-484B-A1B4-E436CC4F4749}"/>
    <cellStyle name="Accent 3" xfId="4" xr:uid="{3D561A10-5692-EB45-8C5F-D4716E0839DA}"/>
    <cellStyle name="Bad" xfId="5" xr:uid="{8B9C52C4-4898-1E49-97B4-EB21A8B4B2D4}"/>
    <cellStyle name="cf1" xfId="6" xr:uid="{EBBA2670-AC55-C046-9084-40B48D7157E3}"/>
    <cellStyle name="cf2" xfId="7" xr:uid="{6AD8ED90-91E5-1C40-A77A-1A3FB109910F}"/>
    <cellStyle name="Default" xfId="8" xr:uid="{C55E10E4-09AC-D649-B801-03C12D5AEC62}"/>
    <cellStyle name="Error" xfId="9" xr:uid="{2C26BEE1-5338-8F45-92BC-342822A55708}"/>
    <cellStyle name="Footnote" xfId="10" xr:uid="{3F7FBEB9-8384-4E46-BA3C-2CD2D3EBDA38}"/>
    <cellStyle name="Good" xfId="11" xr:uid="{CBBDB771-86E1-A64F-9772-7CBFC987BC45}"/>
    <cellStyle name="Heading" xfId="12" xr:uid="{7C1B8A4B-C40C-FC40-BD37-356BE17716EA}"/>
    <cellStyle name="Heading 1" xfId="13" xr:uid="{5CD6F7F6-0D47-984A-AA89-1137CFD8A4B9}"/>
    <cellStyle name="Heading 2" xfId="14" xr:uid="{04E8BA49-C0FA-604F-AD86-164A1978F77E}"/>
    <cellStyle name="Hyperlink" xfId="15" xr:uid="{7F6D1CD4-35AD-D74F-B6E9-C125EF01DB92}"/>
    <cellStyle name="Neutral" xfId="16" xr:uid="{8206C4A1-F2C9-1248-BD14-C33836EA33B0}"/>
    <cellStyle name="Normal" xfId="0" builtinId="0" customBuiltin="1"/>
    <cellStyle name="Note" xfId="17" xr:uid="{9EDD2046-2B10-1D4D-8123-BF6C8602438D}"/>
    <cellStyle name="Result" xfId="18" xr:uid="{6F14D7C5-56FE-5244-93C1-A8CAF13CFED4}"/>
    <cellStyle name="Result2" xfId="19" xr:uid="{B05CFEFA-E5A3-4047-A9E1-56F2064EE000}"/>
    <cellStyle name="Sem nome1" xfId="20" xr:uid="{81A74A15-77DC-8D4B-9A36-D2653149BB98}"/>
    <cellStyle name="Sem nome10" xfId="21" xr:uid="{013F9F4F-6819-5E48-BB6A-3837A03B6D16}"/>
    <cellStyle name="Sem nome11" xfId="22" xr:uid="{2757B9EA-B382-C34E-B613-61A200F32691}"/>
    <cellStyle name="Sem nome12" xfId="23" xr:uid="{1398324F-6A12-7048-9BD2-31A2F04AFCE1}"/>
    <cellStyle name="Sem nome2" xfId="24" xr:uid="{CD172D08-3180-4048-85F5-4396D85660A5}"/>
    <cellStyle name="Sem nome3" xfId="25" xr:uid="{31AD4FCB-D4F8-1F4C-B4AA-C87EE6D6BCCA}"/>
    <cellStyle name="Sem nome4" xfId="26" xr:uid="{AA853D89-9263-9043-99FC-D43F991675E0}"/>
    <cellStyle name="Sem nome5" xfId="27" xr:uid="{56F236D0-3D73-5047-844D-EB88813936CA}"/>
    <cellStyle name="Sem nome6" xfId="28" xr:uid="{2B99A550-2763-3E46-AAD2-5CAF0B8757F2}"/>
    <cellStyle name="Sem nome7" xfId="29" xr:uid="{18D36840-9FFB-E24E-B0CE-BE9523A7BA02}"/>
    <cellStyle name="Sem nome8" xfId="30" xr:uid="{7A34A1A6-0ED2-D14C-B2E5-06DA1E100979}"/>
    <cellStyle name="Sem nome9" xfId="31" xr:uid="{C68FD9D1-1676-1640-8AF9-0B0CB84B97DD}"/>
    <cellStyle name="Status" xfId="32" xr:uid="{DD04CD46-0774-F946-935B-B218FAE75B90}"/>
    <cellStyle name="Text" xfId="33" xr:uid="{9B8D92BC-C3A1-FD4F-996C-94DA8EE0DC38}"/>
    <cellStyle name="Warning" xfId="34" xr:uid="{5525FF28-5266-6B4C-8C25-13135377ACB8}"/>
  </cellStyles>
  <dxfs count="6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190500</xdr:colOff>
          <xdr:row>30</xdr:row>
          <xdr:rowOff>38100</xdr:rowOff>
        </xdr:from>
        <xdr:to>
          <xdr:col>17</xdr:col>
          <xdr:colOff>609600</xdr:colOff>
          <xdr:row>35</xdr:row>
          <xdr:rowOff>88900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3688557F-1BB2-1D92-F106-EF328589D94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34300" y="8775700"/>
              <a:ext cx="1320800" cy="13208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PT" sz="1000" b="0" i="0" u="none" strike="noStrike" baseline="0%">
                  <a:solidFill>
                    <a:srgbClr val="000000"/>
                  </a:solidFill>
                  <a:latin typeface="Liberation Sans" charset="0"/>
                </a:rPr>
                <a:t>FORMULA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190500</xdr:colOff>
          <xdr:row>30</xdr:row>
          <xdr:rowOff>38100</xdr:rowOff>
        </xdr:from>
        <xdr:to>
          <xdr:col>19</xdr:col>
          <xdr:colOff>571500</xdr:colOff>
          <xdr:row>35</xdr:row>
          <xdr:rowOff>88900</xdr:rowOff>
        </xdr:to>
        <xdr:sp macro="" textlink="">
          <xdr:nvSpPr>
            <xdr:cNvPr id="1026" name="Comment 2" hidden="1">
              <a:extLst>
                <a:ext uri="{FF2B5EF4-FFF2-40B4-BE49-F238E27FC236}">
                  <a16:creationId xmlns:a16="http://schemas.microsoft.com/office/drawing/2014/main" id="{8428D797-DB00-61E0-45E9-E611936CFB5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707600" y="8775700"/>
              <a:ext cx="1320800" cy="13208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PT" sz="1000" b="0" i="0" u="none" strike="noStrike" baseline="0%">
                  <a:solidFill>
                    <a:srgbClr val="000000"/>
                  </a:solidFill>
                  <a:latin typeface="Liberation Sans" charset="0"/>
                </a:rPr>
                <a:t>FORMULA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872F-0DCE-A849-AE2C-22A0AD413B36}">
  <dimension ref="A1:BI64"/>
  <sheetViews>
    <sheetView tabSelected="1" topLeftCell="A28" workbookViewId="0"/>
  </sheetViews>
  <sheetFormatPr baseColWidth="10" defaultColWidth="13.796875" defaultRowHeight="12.5"/>
  <cols>
    <col min="1" max="1" width="36.796875" style="66" customWidth="1"/>
    <col min="2" max="2" width="22.19921875" style="67" customWidth="1"/>
    <col min="3" max="3" width="15" style="68" customWidth="1"/>
    <col min="4" max="4" width="23.19921875" style="36" customWidth="1"/>
    <col min="5" max="5" width="16.3984375" style="68" customWidth="1"/>
    <col min="6" max="6" width="23.3984375" style="36" customWidth="1"/>
    <col min="7" max="7" width="13.19921875" style="69" customWidth="1"/>
    <col min="8" max="8" width="22.59765625" style="36" customWidth="1"/>
    <col min="9" max="9" width="15.796875" style="68" customWidth="1"/>
    <col min="10" max="10" width="20" style="36" customWidth="1"/>
    <col min="11" max="11" width="18.3984375" style="70" customWidth="1"/>
    <col min="12" max="12" width="20" style="36" customWidth="1"/>
    <col min="13" max="13" width="14.796875" style="68" customWidth="1"/>
    <col min="14" max="14" width="20" style="36" customWidth="1"/>
    <col min="15" max="15" width="16.19921875" style="68" customWidth="1"/>
    <col min="16" max="16" width="20.796875" style="36" customWidth="1"/>
    <col min="17" max="17" width="15.59765625" style="68" customWidth="1"/>
    <col min="18" max="18" width="21.59765625" style="36" customWidth="1"/>
    <col min="19" max="19" width="14.796875" style="68" customWidth="1"/>
    <col min="20" max="20" width="21.3984375" style="36" customWidth="1"/>
    <col min="21" max="21" width="15.3984375" style="68" customWidth="1"/>
    <col min="22" max="22" width="24.19921875" style="36" customWidth="1"/>
    <col min="23" max="23" width="14.59765625" style="68" customWidth="1"/>
    <col min="24" max="24" width="22.3984375" style="36" customWidth="1"/>
    <col min="25" max="25" width="15.19921875" style="68" customWidth="1"/>
    <col min="26" max="26" width="23.3984375" style="36" customWidth="1"/>
    <col min="27" max="27" width="19.59765625" style="6" customWidth="1"/>
    <col min="28" max="61" width="17" customWidth="1"/>
    <col min="62" max="62" width="13.796875" customWidth="1"/>
  </cols>
  <sheetData>
    <row r="1" spans="1:26" ht="25.2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3" t="s">
        <v>8</v>
      </c>
      <c r="J1" s="1" t="s">
        <v>9</v>
      </c>
      <c r="K1" s="5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3" t="s">
        <v>20</v>
      </c>
      <c r="V1" s="1" t="s">
        <v>21</v>
      </c>
      <c r="W1" s="3" t="s">
        <v>22</v>
      </c>
      <c r="X1" s="1" t="s">
        <v>23</v>
      </c>
      <c r="Y1" s="3" t="s">
        <v>24</v>
      </c>
      <c r="Z1" s="1" t="s">
        <v>25</v>
      </c>
    </row>
    <row r="2" spans="1:26" ht="11.25" customHeight="1">
      <c r="A2" s="7"/>
      <c r="B2" s="8"/>
      <c r="C2" s="8"/>
      <c r="D2" s="9"/>
      <c r="E2" s="8"/>
      <c r="F2" s="9"/>
      <c r="G2" s="10"/>
      <c r="H2" s="9"/>
      <c r="I2" s="8"/>
      <c r="J2" s="9"/>
      <c r="K2" s="11"/>
      <c r="L2" s="9"/>
      <c r="M2" s="8"/>
      <c r="N2" s="9"/>
      <c r="O2" s="8"/>
      <c r="P2" s="9"/>
      <c r="Q2" s="8"/>
      <c r="R2" s="9"/>
      <c r="S2" s="8"/>
      <c r="T2" s="9"/>
      <c r="U2" s="8"/>
      <c r="V2" s="9"/>
      <c r="W2" s="8"/>
      <c r="X2" s="9"/>
      <c r="Y2" s="8"/>
      <c r="Z2" s="9"/>
    </row>
    <row r="3" spans="1:26" ht="28" customHeight="1">
      <c r="A3" s="12"/>
      <c r="B3" s="13"/>
      <c r="C3" s="14" t="e">
        <f>(D3-B3)/B3</f>
        <v>#DIV/0!</v>
      </c>
      <c r="D3" s="13"/>
      <c r="E3" s="15" t="e">
        <f>(F3-D3)/D3</f>
        <v>#DIV/0!</v>
      </c>
      <c r="F3" s="13"/>
      <c r="G3" s="16" t="e">
        <f>(H3-F3)/F3</f>
        <v>#DIV/0!</v>
      </c>
      <c r="H3" s="13"/>
      <c r="I3" s="15" t="e">
        <f>(J3-H3)/H3</f>
        <v>#DIV/0!</v>
      </c>
      <c r="J3" s="13"/>
      <c r="K3" s="17" t="e">
        <f>(L3-J3)/J3</f>
        <v>#DIV/0!</v>
      </c>
      <c r="L3" s="13"/>
      <c r="M3" s="15" t="e">
        <f>(N3-L3)/L3</f>
        <v>#DIV/0!</v>
      </c>
      <c r="N3" s="13"/>
      <c r="O3" s="15" t="e">
        <f>(P3-N3)/N3</f>
        <v>#DIV/0!</v>
      </c>
      <c r="P3" s="13"/>
      <c r="Q3" s="15" t="e">
        <f>(R3-P3)/P3</f>
        <v>#DIV/0!</v>
      </c>
      <c r="R3" s="18"/>
      <c r="S3" s="15" t="e">
        <f>(T3-R3)/R3</f>
        <v>#DIV/0!</v>
      </c>
      <c r="T3" s="18"/>
      <c r="U3" s="15" t="e">
        <f>(V3-T3)/T3</f>
        <v>#DIV/0!</v>
      </c>
      <c r="V3" s="13"/>
      <c r="W3" s="15" t="e">
        <f>(X3-V3)/V3</f>
        <v>#DIV/0!</v>
      </c>
      <c r="X3" s="18"/>
      <c r="Y3" s="15" t="e">
        <f>(Z3-X3)/X3</f>
        <v>#DIV/0!</v>
      </c>
      <c r="Z3" s="13"/>
    </row>
    <row r="4" spans="1:26" ht="28" customHeight="1">
      <c r="A4" s="12" t="s">
        <v>26</v>
      </c>
      <c r="B4" s="13">
        <v>78973.009999999995</v>
      </c>
      <c r="C4" s="14">
        <f>(D4-B4)/B4</f>
        <v>1.0326819251286081E-2</v>
      </c>
      <c r="D4" s="13">
        <v>79788.55</v>
      </c>
      <c r="E4" s="15">
        <f>(F4-D4)/D4</f>
        <v>1.0313259233310921E-2</v>
      </c>
      <c r="F4" s="13">
        <v>80611.429999999993</v>
      </c>
      <c r="G4" s="16">
        <f>(H4-F4)/F4</f>
        <v>1.2262156867828809E-2</v>
      </c>
      <c r="H4" s="13">
        <v>81599.899999999994</v>
      </c>
      <c r="I4" s="15">
        <f>(J4-H4)/H4</f>
        <v>1.4628939496249398E-2</v>
      </c>
      <c r="J4" s="13">
        <v>82793.62</v>
      </c>
      <c r="K4" s="17">
        <f>(L4-J4)/J4</f>
        <v>1.3581360496134988E-2</v>
      </c>
      <c r="L4" s="13">
        <v>83918.07</v>
      </c>
      <c r="M4" s="17">
        <f>(N4-L4)/L4</f>
        <v>1.1391587056279915E-2</v>
      </c>
      <c r="N4" s="13">
        <v>84874.03</v>
      </c>
      <c r="O4" s="17">
        <f>(P4-N4)/N4</f>
        <v>1.0874586725762889E-2</v>
      </c>
      <c r="P4" s="13">
        <v>85797</v>
      </c>
      <c r="Q4" s="17">
        <f>(R4-P4)/P4</f>
        <v>-1</v>
      </c>
      <c r="R4" s="18"/>
      <c r="S4" s="17" t="e">
        <f>(T4-R4)/R4</f>
        <v>#DIV/0!</v>
      </c>
      <c r="T4" s="18"/>
      <c r="U4" s="17" t="e">
        <f>(V4-T4)/T4</f>
        <v>#DIV/0!</v>
      </c>
      <c r="V4" s="13"/>
      <c r="W4" s="15" t="e">
        <f>(X4-V4)/V4</f>
        <v>#DIV/0!</v>
      </c>
      <c r="X4" s="18"/>
      <c r="Y4" s="15" t="e">
        <f>(Z4-X4)/X4</f>
        <v>#DIV/0!</v>
      </c>
      <c r="Z4" s="13"/>
    </row>
    <row r="5" spans="1:26" ht="28" customHeight="1">
      <c r="A5" s="12" t="s">
        <v>27</v>
      </c>
      <c r="B5" s="13">
        <v>83724.12</v>
      </c>
      <c r="C5" s="14">
        <f>(D5-B5)/B5</f>
        <v>1.1827893801690586E-2</v>
      </c>
      <c r="D5" s="13">
        <v>84714.4</v>
      </c>
      <c r="E5" s="15">
        <f>(F5-D5)/D5</f>
        <v>1.0793914611919683E-2</v>
      </c>
      <c r="F5" s="13">
        <v>85628.800000000003</v>
      </c>
      <c r="G5" s="16">
        <f>(H5-F5)/F5</f>
        <v>1.027726652714973E-2</v>
      </c>
      <c r="H5" s="13">
        <v>86508.83</v>
      </c>
      <c r="I5" s="15">
        <f>(J5-H5)/H5</f>
        <v>1.027733238329546E-2</v>
      </c>
      <c r="J5" s="13">
        <v>87397.91</v>
      </c>
      <c r="K5" s="17">
        <f>(L5-J5)/J5</f>
        <v>1.0277248048608849E-2</v>
      </c>
      <c r="L5" s="13">
        <v>88296.12</v>
      </c>
      <c r="M5" s="15">
        <f>(N5-L5)/L5</f>
        <v>9.7609045561685599E-3</v>
      </c>
      <c r="N5" s="13">
        <v>89157.97</v>
      </c>
      <c r="O5" s="15">
        <f>(P5-N5)/N5</f>
        <v>1.2345390995331123E-2</v>
      </c>
      <c r="P5" s="13">
        <v>90258.66</v>
      </c>
      <c r="Q5" s="15">
        <f>(R5-P5)/P5</f>
        <v>-1</v>
      </c>
      <c r="R5" s="18"/>
      <c r="S5" s="15" t="e">
        <f>(T5-R5)/R5</f>
        <v>#DIV/0!</v>
      </c>
      <c r="T5" s="18"/>
      <c r="U5" s="15" t="e">
        <f>(V5-T5)/T5</f>
        <v>#DIV/0!</v>
      </c>
      <c r="V5" s="13"/>
      <c r="W5" s="15" t="e">
        <f>(X5-V5)/V5</f>
        <v>#DIV/0!</v>
      </c>
      <c r="X5" s="18"/>
      <c r="Y5" s="15" t="e">
        <f>(Z5-X5)/X5</f>
        <v>#DIV/0!</v>
      </c>
      <c r="Z5" s="13"/>
    </row>
    <row r="6" spans="1:26" ht="28" customHeight="1">
      <c r="A6" s="12" t="s">
        <v>28</v>
      </c>
      <c r="B6" s="13">
        <v>108462.19</v>
      </c>
      <c r="C6" s="14">
        <f>(D6-B6)/B6</f>
        <v>9.9123943560423707E-3</v>
      </c>
      <c r="D6" s="13">
        <v>109537.31</v>
      </c>
      <c r="E6" s="15">
        <f>(F6-D6)/D6</f>
        <v>9.9300411887055327E-3</v>
      </c>
      <c r="F6" s="13">
        <v>110625.02</v>
      </c>
      <c r="G6" s="16">
        <f>(H6-F6)/F6</f>
        <v>1.2568494902870972E-2</v>
      </c>
      <c r="H6" s="13">
        <v>112015.41</v>
      </c>
      <c r="I6" s="15">
        <f>(J6-H6)/H6</f>
        <v>1.3921923778165889E-2</v>
      </c>
      <c r="J6" s="13">
        <v>113574.88</v>
      </c>
      <c r="K6" s="17">
        <f>(L6-J6)/J6</f>
        <v>1.1532831907900731E-2</v>
      </c>
      <c r="L6" s="13">
        <v>114884.72</v>
      </c>
      <c r="M6" s="15">
        <f>(N6-L6)/L6</f>
        <v>9.9952369644980017E-3</v>
      </c>
      <c r="N6" s="13">
        <v>116033.02</v>
      </c>
      <c r="O6" s="15">
        <f>(P6-N6)/N6</f>
        <v>7.5054497418061694E-3</v>
      </c>
      <c r="P6" s="13">
        <v>116903.9</v>
      </c>
      <c r="Q6" s="15">
        <f>(R6-P6)/P6</f>
        <v>-1</v>
      </c>
      <c r="R6" s="18"/>
      <c r="S6" s="15" t="e">
        <f>(T6-R6)/R6</f>
        <v>#DIV/0!</v>
      </c>
      <c r="T6" s="18"/>
      <c r="U6" s="15" t="e">
        <f>(V6-T6)/T6</f>
        <v>#DIV/0!</v>
      </c>
      <c r="V6" s="13"/>
      <c r="W6" s="15" t="e">
        <f>(X6-V6)/V6</f>
        <v>#DIV/0!</v>
      </c>
      <c r="X6" s="13"/>
      <c r="Y6" s="15" t="e">
        <f>(Z6-X6)/X6</f>
        <v>#DIV/0!</v>
      </c>
      <c r="Z6" s="13"/>
    </row>
    <row r="7" spans="1:26" ht="28" customHeight="1">
      <c r="A7" s="12"/>
      <c r="B7" s="13"/>
      <c r="C7" s="14" t="e">
        <f>(D7-B7)/B7</f>
        <v>#DIV/0!</v>
      </c>
      <c r="D7" s="13"/>
      <c r="E7" s="15" t="e">
        <f>(F7-D7)/D7</f>
        <v>#DIV/0!</v>
      </c>
      <c r="F7" s="13"/>
      <c r="G7" s="16" t="e">
        <f>(H7-F7)/F7</f>
        <v>#DIV/0!</v>
      </c>
      <c r="H7" s="13"/>
      <c r="I7" s="15" t="e">
        <f>(J7-H7)/H7</f>
        <v>#DIV/0!</v>
      </c>
      <c r="J7" s="13"/>
      <c r="K7" s="17"/>
      <c r="L7" s="13"/>
      <c r="M7" s="15"/>
      <c r="N7" s="13"/>
      <c r="O7" s="15"/>
      <c r="P7" s="13"/>
      <c r="Q7" s="15"/>
      <c r="R7" s="18"/>
      <c r="S7" s="15"/>
      <c r="T7" s="18"/>
      <c r="U7" s="15"/>
      <c r="V7" s="13"/>
      <c r="W7" s="15"/>
      <c r="X7" s="13"/>
      <c r="Y7" s="15"/>
      <c r="Z7" s="13"/>
    </row>
    <row r="8" spans="1:26" ht="18" customHeight="1">
      <c r="A8" s="19" t="s">
        <v>29</v>
      </c>
      <c r="B8" s="20">
        <v>29174.77</v>
      </c>
      <c r="C8" s="21"/>
      <c r="D8" s="20">
        <v>41233.25</v>
      </c>
      <c r="E8" s="22"/>
      <c r="F8" s="20">
        <v>35401.519999999997</v>
      </c>
      <c r="G8" s="23"/>
      <c r="H8" s="20">
        <v>17285.689999999999</v>
      </c>
      <c r="I8" s="22"/>
      <c r="J8" s="20">
        <v>8553.85</v>
      </c>
      <c r="K8" s="24"/>
      <c r="L8" s="20">
        <v>10011.65</v>
      </c>
      <c r="M8" s="22"/>
      <c r="N8" s="20">
        <v>10674.55</v>
      </c>
      <c r="O8" s="22"/>
      <c r="P8" s="20">
        <v>78807.009999999995</v>
      </c>
      <c r="Q8" s="22"/>
      <c r="R8" s="25"/>
      <c r="S8" s="22"/>
      <c r="T8" s="25"/>
      <c r="U8" s="22"/>
      <c r="V8" s="20"/>
      <c r="W8" s="22"/>
      <c r="X8" s="20"/>
      <c r="Y8" s="22"/>
      <c r="Z8" s="20"/>
    </row>
    <row r="9" spans="1:26" ht="13.75" customHeight="1">
      <c r="A9" s="26" t="s">
        <v>30</v>
      </c>
      <c r="B9" s="27">
        <f>SUM(B3:B8)</f>
        <v>300334.09000000003</v>
      </c>
      <c r="C9" s="14">
        <f t="shared" ref="C9:C14" si="0">(D9-B9)/B9</f>
        <v>4.9742671569517741E-2</v>
      </c>
      <c r="D9" s="27">
        <f>SUM(D3:D8)</f>
        <v>315273.51</v>
      </c>
      <c r="E9" s="15">
        <f t="shared" ref="E9:E14" si="1">(F9-D9)/D9</f>
        <v>-9.5369255729731012E-3</v>
      </c>
      <c r="F9" s="27">
        <f>SUM(F3:F8)</f>
        <v>312266.77</v>
      </c>
      <c r="G9" s="16">
        <f t="shared" ref="G9:G14" si="2">(H9-F9)/F9</f>
        <v>-4.7577716962967274E-2</v>
      </c>
      <c r="H9" s="27">
        <f>SUM(H3:H8)</f>
        <v>297409.83</v>
      </c>
      <c r="I9" s="15">
        <f t="shared" ref="I9:I14" si="3">(J9-H9)/H9</f>
        <v>-1.7112985135696444E-2</v>
      </c>
      <c r="J9" s="27">
        <f>SUM(J3:J8)</f>
        <v>292320.26</v>
      </c>
      <c r="K9" s="17">
        <f t="shared" ref="K9:K14" si="4">(L9-J9)/J9</f>
        <v>1.6387163859255073E-2</v>
      </c>
      <c r="L9" s="27">
        <f>SUM(L3:L8)</f>
        <v>297110.56000000006</v>
      </c>
      <c r="M9" s="15">
        <f t="shared" ref="M9:M14" si="5">(N9-L9)/L9</f>
        <v>1.2214342028098733E-2</v>
      </c>
      <c r="N9" s="27">
        <f>SUM(N3:N8)</f>
        <v>300739.57</v>
      </c>
      <c r="O9" s="15">
        <f t="shared" ref="O9:O14" si="6">(P9-N9)/N9</f>
        <v>0.23617444156084946</v>
      </c>
      <c r="P9" s="27">
        <f>SUM(P3:P8)</f>
        <v>371766.57</v>
      </c>
      <c r="Q9" s="15">
        <f t="shared" ref="Q9:Q14" si="7">(R9-P9)/P9</f>
        <v>-1</v>
      </c>
      <c r="R9" s="27">
        <f>SUM(R3:R8)</f>
        <v>0</v>
      </c>
      <c r="S9" s="15" t="e">
        <f t="shared" ref="S9:S14" si="8">(T9-R9)/R9</f>
        <v>#DIV/0!</v>
      </c>
      <c r="T9" s="27">
        <f>SUM(T3:T8)</f>
        <v>0</v>
      </c>
      <c r="U9" s="15" t="e">
        <f t="shared" ref="U9:U14" si="9">(V9-T9)/T9</f>
        <v>#DIV/0!</v>
      </c>
      <c r="V9" s="27">
        <f>SUM(V3:V8)</f>
        <v>0</v>
      </c>
      <c r="W9" s="15" t="e">
        <f t="shared" ref="W9:W14" si="10">(X9-V9)/V9</f>
        <v>#DIV/0!</v>
      </c>
      <c r="X9" s="27">
        <f>SUM(X3:X8)</f>
        <v>0</v>
      </c>
      <c r="Y9" s="15" t="e">
        <f t="shared" ref="Y9:Y14" si="11">(Z9-X9)/X9</f>
        <v>#DIV/0!</v>
      </c>
      <c r="Z9" s="27">
        <f>SUM(Z3:Z8)</f>
        <v>0</v>
      </c>
    </row>
    <row r="10" spans="1:26" ht="28" customHeight="1">
      <c r="A10" s="12"/>
      <c r="B10" s="13"/>
      <c r="C10" s="14" t="e">
        <f t="shared" si="0"/>
        <v>#DIV/0!</v>
      </c>
      <c r="D10" s="13"/>
      <c r="E10" s="15" t="e">
        <f t="shared" si="1"/>
        <v>#DIV/0!</v>
      </c>
      <c r="F10" s="13"/>
      <c r="G10" s="16" t="e">
        <f t="shared" si="2"/>
        <v>#DIV/0!</v>
      </c>
      <c r="H10" s="13"/>
      <c r="I10" s="15" t="e">
        <f t="shared" si="3"/>
        <v>#DIV/0!</v>
      </c>
      <c r="J10" s="13"/>
      <c r="K10" s="17" t="e">
        <f t="shared" si="4"/>
        <v>#DIV/0!</v>
      </c>
      <c r="L10" s="13"/>
      <c r="M10" s="15" t="e">
        <f t="shared" si="5"/>
        <v>#DIV/0!</v>
      </c>
      <c r="N10" s="13"/>
      <c r="O10" s="15" t="e">
        <f t="shared" si="6"/>
        <v>#DIV/0!</v>
      </c>
      <c r="P10" s="13"/>
      <c r="Q10" s="15" t="e">
        <f t="shared" si="7"/>
        <v>#DIV/0!</v>
      </c>
      <c r="R10" s="18"/>
      <c r="S10" s="15" t="e">
        <f t="shared" si="8"/>
        <v>#DIV/0!</v>
      </c>
      <c r="T10" s="18"/>
      <c r="U10" s="15" t="e">
        <f t="shared" si="9"/>
        <v>#DIV/0!</v>
      </c>
      <c r="V10" s="13"/>
      <c r="W10" s="15" t="e">
        <f t="shared" si="10"/>
        <v>#DIV/0!</v>
      </c>
      <c r="X10" s="13"/>
      <c r="Y10" s="15" t="e">
        <f t="shared" si="11"/>
        <v>#DIV/0!</v>
      </c>
      <c r="Z10" s="13"/>
    </row>
    <row r="11" spans="1:26" ht="28" customHeight="1">
      <c r="A11" s="12"/>
      <c r="B11" s="13"/>
      <c r="C11" s="14" t="e">
        <f t="shared" si="0"/>
        <v>#DIV/0!</v>
      </c>
      <c r="D11" s="13"/>
      <c r="E11" s="15" t="e">
        <f t="shared" si="1"/>
        <v>#DIV/0!</v>
      </c>
      <c r="F11" s="13"/>
      <c r="G11" s="16" t="e">
        <f t="shared" si="2"/>
        <v>#DIV/0!</v>
      </c>
      <c r="H11" s="13"/>
      <c r="I11" s="15" t="e">
        <f t="shared" si="3"/>
        <v>#DIV/0!</v>
      </c>
      <c r="J11" s="13"/>
      <c r="K11" s="17" t="e">
        <f t="shared" si="4"/>
        <v>#DIV/0!</v>
      </c>
      <c r="L11" s="13"/>
      <c r="M11" s="15" t="e">
        <f t="shared" si="5"/>
        <v>#DIV/0!</v>
      </c>
      <c r="N11" s="13"/>
      <c r="O11" s="15" t="e">
        <f t="shared" si="6"/>
        <v>#DIV/0!</v>
      </c>
      <c r="P11" s="13"/>
      <c r="Q11" s="15" t="e">
        <f t="shared" si="7"/>
        <v>#DIV/0!</v>
      </c>
      <c r="R11" s="18"/>
      <c r="S11" s="15" t="e">
        <f t="shared" si="8"/>
        <v>#DIV/0!</v>
      </c>
      <c r="T11" s="18"/>
      <c r="U11" s="15" t="e">
        <f t="shared" si="9"/>
        <v>#DIV/0!</v>
      </c>
      <c r="V11" s="13"/>
      <c r="W11" s="15" t="e">
        <f t="shared" si="10"/>
        <v>#DIV/0!</v>
      </c>
      <c r="X11" s="13"/>
      <c r="Y11" s="15" t="e">
        <f t="shared" si="11"/>
        <v>#DIV/0!</v>
      </c>
      <c r="Z11" s="13"/>
    </row>
    <row r="12" spans="1:26" ht="27.5" customHeight="1">
      <c r="A12" s="12" t="s">
        <v>31</v>
      </c>
      <c r="B12" s="13">
        <v>2778343.3</v>
      </c>
      <c r="C12" s="14">
        <f t="shared" si="0"/>
        <v>-1.9492224017096754E-2</v>
      </c>
      <c r="D12" s="13">
        <v>2724187.21</v>
      </c>
      <c r="E12" s="15">
        <f t="shared" si="1"/>
        <v>2.4864333754801831E-3</v>
      </c>
      <c r="F12" s="13">
        <v>2730960.72</v>
      </c>
      <c r="G12" s="16">
        <f t="shared" si="2"/>
        <v>1.9200349392061455E-3</v>
      </c>
      <c r="H12" s="13">
        <v>2736204.26</v>
      </c>
      <c r="I12" s="15">
        <f t="shared" si="3"/>
        <v>1.0849793063329272E-2</v>
      </c>
      <c r="J12" s="13">
        <v>2765891.51</v>
      </c>
      <c r="K12" s="17">
        <f t="shared" si="4"/>
        <v>1.0470631221540702E-2</v>
      </c>
      <c r="L12" s="13">
        <v>2794852.14</v>
      </c>
      <c r="M12" s="15">
        <f t="shared" si="5"/>
        <v>-9.9899850158083864E-2</v>
      </c>
      <c r="N12" s="13">
        <v>2515646.83</v>
      </c>
      <c r="O12" s="15">
        <f t="shared" si="6"/>
        <v>-0.20319067601392998</v>
      </c>
      <c r="P12" s="13">
        <v>2004490.85</v>
      </c>
      <c r="Q12" s="15">
        <f t="shared" si="7"/>
        <v>-1</v>
      </c>
      <c r="R12" s="18"/>
      <c r="S12" s="15" t="e">
        <f t="shared" si="8"/>
        <v>#DIV/0!</v>
      </c>
      <c r="T12" s="18"/>
      <c r="U12" s="15" t="e">
        <f t="shared" si="9"/>
        <v>#DIV/0!</v>
      </c>
      <c r="V12" s="13"/>
      <c r="W12" s="15" t="e">
        <f t="shared" si="10"/>
        <v>#DIV/0!</v>
      </c>
      <c r="X12" s="13"/>
      <c r="Y12" s="15" t="e">
        <f t="shared" si="11"/>
        <v>#DIV/0!</v>
      </c>
      <c r="Z12" s="13"/>
    </row>
    <row r="13" spans="1:26" ht="28" customHeight="1">
      <c r="A13" s="12"/>
      <c r="B13" s="13"/>
      <c r="C13" s="14" t="e">
        <f t="shared" si="0"/>
        <v>#DIV/0!</v>
      </c>
      <c r="D13" s="13"/>
      <c r="E13" s="15" t="e">
        <f t="shared" si="1"/>
        <v>#DIV/0!</v>
      </c>
      <c r="F13" s="13"/>
      <c r="G13" s="16" t="e">
        <f t="shared" si="2"/>
        <v>#DIV/0!</v>
      </c>
      <c r="H13" s="13"/>
      <c r="I13" s="15" t="e">
        <f t="shared" si="3"/>
        <v>#DIV/0!</v>
      </c>
      <c r="J13" s="13"/>
      <c r="K13" s="17" t="e">
        <f t="shared" si="4"/>
        <v>#DIV/0!</v>
      </c>
      <c r="L13" s="13"/>
      <c r="M13" s="15" t="e">
        <f t="shared" si="5"/>
        <v>#DIV/0!</v>
      </c>
      <c r="N13" s="13"/>
      <c r="O13" s="15" t="e">
        <f t="shared" si="6"/>
        <v>#DIV/0!</v>
      </c>
      <c r="P13" s="13"/>
      <c r="Q13" s="15" t="e">
        <f t="shared" si="7"/>
        <v>#DIV/0!</v>
      </c>
      <c r="R13" s="18"/>
      <c r="S13" s="15" t="e">
        <f t="shared" si="8"/>
        <v>#DIV/0!</v>
      </c>
      <c r="T13" s="18"/>
      <c r="U13" s="15" t="e">
        <f t="shared" si="9"/>
        <v>#DIV/0!</v>
      </c>
      <c r="V13" s="13"/>
      <c r="W13" s="15" t="e">
        <f t="shared" si="10"/>
        <v>#DIV/0!</v>
      </c>
      <c r="X13" s="13"/>
      <c r="Y13" s="15" t="e">
        <f t="shared" si="11"/>
        <v>#DIV/0!</v>
      </c>
      <c r="Z13" s="13"/>
    </row>
    <row r="14" spans="1:26" ht="28" customHeight="1">
      <c r="A14" s="12"/>
      <c r="B14" s="13"/>
      <c r="C14" s="14" t="e">
        <f t="shared" si="0"/>
        <v>#DIV/0!</v>
      </c>
      <c r="D14" s="13"/>
      <c r="E14" s="15" t="e">
        <f t="shared" si="1"/>
        <v>#DIV/0!</v>
      </c>
      <c r="F14" s="13"/>
      <c r="G14" s="16" t="e">
        <f t="shared" si="2"/>
        <v>#DIV/0!</v>
      </c>
      <c r="H14" s="13"/>
      <c r="I14" s="15" t="e">
        <f t="shared" si="3"/>
        <v>#DIV/0!</v>
      </c>
      <c r="J14" s="13"/>
      <c r="K14" s="17" t="e">
        <f t="shared" si="4"/>
        <v>#DIV/0!</v>
      </c>
      <c r="L14" s="13"/>
      <c r="M14" s="15" t="e">
        <f t="shared" si="5"/>
        <v>#DIV/0!</v>
      </c>
      <c r="N14" s="13"/>
      <c r="O14" s="15" t="e">
        <f t="shared" si="6"/>
        <v>#DIV/0!</v>
      </c>
      <c r="P14" s="13"/>
      <c r="Q14" s="15" t="e">
        <f t="shared" si="7"/>
        <v>#DIV/0!</v>
      </c>
      <c r="R14" s="18"/>
      <c r="S14" s="15" t="e">
        <f t="shared" si="8"/>
        <v>#DIV/0!</v>
      </c>
      <c r="T14" s="18"/>
      <c r="U14" s="15" t="e">
        <f t="shared" si="9"/>
        <v>#DIV/0!</v>
      </c>
      <c r="V14" s="13"/>
      <c r="W14" s="15" t="e">
        <f t="shared" si="10"/>
        <v>#DIV/0!</v>
      </c>
      <c r="X14" s="13"/>
      <c r="Y14" s="15" t="e">
        <f t="shared" si="11"/>
        <v>#DIV/0!</v>
      </c>
      <c r="Z14" s="13"/>
    </row>
    <row r="15" spans="1:26" ht="18.5" customHeight="1">
      <c r="A15" s="19" t="s">
        <v>29</v>
      </c>
      <c r="B15" s="20">
        <v>11601.72</v>
      </c>
      <c r="C15" s="21"/>
      <c r="D15" s="20">
        <v>14135.93</v>
      </c>
      <c r="E15" s="22"/>
      <c r="F15" s="20">
        <v>60087.360000000001</v>
      </c>
      <c r="G15" s="23"/>
      <c r="H15" s="20">
        <v>61733.84</v>
      </c>
      <c r="I15" s="22"/>
      <c r="J15" s="20">
        <v>32860.230000000003</v>
      </c>
      <c r="K15" s="24"/>
      <c r="L15" s="20">
        <v>6189.21</v>
      </c>
      <c r="M15" s="22"/>
      <c r="N15" s="20">
        <v>4978.63</v>
      </c>
      <c r="O15" s="22"/>
      <c r="P15" s="20">
        <v>50365.55</v>
      </c>
      <c r="Q15" s="22"/>
      <c r="R15" s="25"/>
      <c r="S15" s="22"/>
      <c r="T15" s="25"/>
      <c r="U15" s="22"/>
      <c r="V15" s="20"/>
      <c r="W15" s="22"/>
      <c r="X15" s="20"/>
      <c r="Y15" s="22"/>
      <c r="Z15" s="20"/>
    </row>
    <row r="16" spans="1:26" ht="14">
      <c r="A16" s="26" t="s">
        <v>32</v>
      </c>
      <c r="B16" s="27">
        <f>SUM(B10:B15)</f>
        <v>2789945.02</v>
      </c>
      <c r="C16" s="14">
        <f t="shared" ref="C16:C21" si="12">(D16-B16)/B16</f>
        <v>-1.8502830568324205E-2</v>
      </c>
      <c r="D16" s="27">
        <f>SUM(D10:D15)</f>
        <v>2738323.14</v>
      </c>
      <c r="E16" s="15">
        <f t="shared" ref="E16:E21" si="13">(F16-D16)/D16</f>
        <v>1.9254462422575863E-2</v>
      </c>
      <c r="F16" s="27">
        <f>SUM(F10:F15)</f>
        <v>2791048.08</v>
      </c>
      <c r="G16" s="16">
        <f t="shared" ref="G16:G21" si="14">(H16-F16)/F16</f>
        <v>2.4686138692385238E-3</v>
      </c>
      <c r="H16" s="27">
        <f>SUM(H10:H15)</f>
        <v>2797938.0999999996</v>
      </c>
      <c r="I16" s="15">
        <f t="shared" ref="I16:I21" si="15">(J16-H16)/H16</f>
        <v>2.907998572234784E-4</v>
      </c>
      <c r="J16" s="27">
        <f>SUM(J10:J15)</f>
        <v>2798751.7399999998</v>
      </c>
      <c r="K16" s="17">
        <f>(L16-J16)/J16</f>
        <v>8.1808256419354131E-4</v>
      </c>
      <c r="L16" s="27">
        <f>SUM(L10:L15)</f>
        <v>2801041.35</v>
      </c>
      <c r="M16" s="15">
        <f t="shared" ref="M16:M21" si="16">(N16-L16)/L16</f>
        <v>-0.10011129967788591</v>
      </c>
      <c r="N16" s="27">
        <f>SUM(N10:N15)</f>
        <v>2520625.46</v>
      </c>
      <c r="O16" s="15">
        <f t="shared" ref="O16:O21" si="17">(P16-N16)/N16</f>
        <v>-0.18478312918413506</v>
      </c>
      <c r="P16" s="27">
        <f>SUM(P10:P15)</f>
        <v>2054856.4000000001</v>
      </c>
      <c r="Q16" s="15">
        <f t="shared" ref="Q16:Q21" si="18">(R16-P16)/P16</f>
        <v>-1</v>
      </c>
      <c r="R16" s="27">
        <f>SUM(R10:R15)</f>
        <v>0</v>
      </c>
      <c r="S16" s="15" t="e">
        <f t="shared" ref="S16:S21" si="19">(T16-R16)/R16</f>
        <v>#DIV/0!</v>
      </c>
      <c r="T16" s="27">
        <f>SUM(T10:T15)</f>
        <v>0</v>
      </c>
      <c r="U16" s="15" t="e">
        <f t="shared" ref="U16:U21" si="20">(V16-T16)/T16</f>
        <v>#DIV/0!</v>
      </c>
      <c r="V16" s="27">
        <f>SUM(V10:V15)</f>
        <v>0</v>
      </c>
      <c r="W16" s="15" t="e">
        <f t="shared" ref="W16:W21" si="21">(X16-V16)/V16</f>
        <v>#DIV/0!</v>
      </c>
      <c r="X16" s="27">
        <f>SUM(X10:X15)</f>
        <v>0</v>
      </c>
      <c r="Y16" s="15" t="e">
        <f t="shared" ref="Y16:Y21" si="22">(Z16-X16)/X16</f>
        <v>#DIV/0!</v>
      </c>
      <c r="Z16" s="27">
        <f>SUM(Z10:Z15)</f>
        <v>0</v>
      </c>
    </row>
    <row r="17" spans="1:26" ht="27.25" customHeight="1">
      <c r="A17" s="12"/>
      <c r="B17" s="13"/>
      <c r="C17" s="14" t="e">
        <f t="shared" si="12"/>
        <v>#DIV/0!</v>
      </c>
      <c r="D17" s="13"/>
      <c r="E17" s="15" t="e">
        <f t="shared" si="13"/>
        <v>#DIV/0!</v>
      </c>
      <c r="F17" s="13"/>
      <c r="G17" s="16" t="e">
        <f t="shared" si="14"/>
        <v>#DIV/0!</v>
      </c>
      <c r="H17" s="13"/>
      <c r="I17" s="15" t="e">
        <f t="shared" si="15"/>
        <v>#DIV/0!</v>
      </c>
      <c r="J17" s="13"/>
      <c r="K17" s="17" t="e">
        <f>(L17-J17)/J17</f>
        <v>#DIV/0!</v>
      </c>
      <c r="L17" s="13"/>
      <c r="M17" s="15" t="e">
        <f t="shared" si="16"/>
        <v>#DIV/0!</v>
      </c>
      <c r="N17" s="13"/>
      <c r="O17" s="15" t="e">
        <f t="shared" si="17"/>
        <v>#DIV/0!</v>
      </c>
      <c r="P17" s="13"/>
      <c r="Q17" s="15" t="e">
        <f t="shared" si="18"/>
        <v>#DIV/0!</v>
      </c>
      <c r="R17" s="18"/>
      <c r="S17" s="15" t="e">
        <f t="shared" si="19"/>
        <v>#DIV/0!</v>
      </c>
      <c r="T17" s="18"/>
      <c r="U17" s="15" t="e">
        <f t="shared" si="20"/>
        <v>#DIV/0!</v>
      </c>
      <c r="V17" s="13"/>
      <c r="W17" s="15" t="e">
        <f t="shared" si="21"/>
        <v>#DIV/0!</v>
      </c>
      <c r="X17" s="13"/>
      <c r="Y17" s="15" t="e">
        <f t="shared" si="22"/>
        <v>#DIV/0!</v>
      </c>
      <c r="Z17" s="13"/>
    </row>
    <row r="18" spans="1:26" ht="28" customHeight="1">
      <c r="A18" s="12" t="s">
        <v>33</v>
      </c>
      <c r="B18" s="13">
        <v>130468.33</v>
      </c>
      <c r="C18" s="14">
        <f t="shared" si="12"/>
        <v>1.7834213099837562E-3</v>
      </c>
      <c r="D18" s="13">
        <v>130701.01</v>
      </c>
      <c r="E18" s="15">
        <f t="shared" si="13"/>
        <v>-1.2570293068125465E-2</v>
      </c>
      <c r="F18" s="13">
        <v>129058.06</v>
      </c>
      <c r="G18" s="16">
        <f t="shared" si="14"/>
        <v>0.18374319279245332</v>
      </c>
      <c r="H18" s="13">
        <v>152771.6</v>
      </c>
      <c r="I18" s="15">
        <f t="shared" si="15"/>
        <v>-0.14174938273867654</v>
      </c>
      <c r="J18" s="13">
        <v>131116.32</v>
      </c>
      <c r="K18" s="17">
        <f>(L18-J18)/J18</f>
        <v>-9.8290281484410227E-2</v>
      </c>
      <c r="L18" s="13">
        <v>118228.86</v>
      </c>
      <c r="M18" s="15">
        <f t="shared" si="16"/>
        <v>7.4642519601390489E-3</v>
      </c>
      <c r="N18" s="13">
        <v>119111.35</v>
      </c>
      <c r="O18" s="15">
        <f t="shared" si="17"/>
        <v>0.16116146781981736</v>
      </c>
      <c r="P18" s="13">
        <v>138307.51</v>
      </c>
      <c r="Q18" s="15">
        <f t="shared" si="18"/>
        <v>-1</v>
      </c>
      <c r="R18" s="18"/>
      <c r="S18" s="15" t="e">
        <f t="shared" si="19"/>
        <v>#DIV/0!</v>
      </c>
      <c r="T18" s="18"/>
      <c r="U18" s="15" t="e">
        <f t="shared" si="20"/>
        <v>#DIV/0!</v>
      </c>
      <c r="V18" s="13"/>
      <c r="W18" s="15" t="e">
        <f t="shared" si="21"/>
        <v>#DIV/0!</v>
      </c>
      <c r="X18" s="13"/>
      <c r="Y18" s="15" t="e">
        <f t="shared" si="22"/>
        <v>#DIV/0!</v>
      </c>
      <c r="Z18" s="13"/>
    </row>
    <row r="19" spans="1:26" ht="28" customHeight="1">
      <c r="A19" s="12" t="s">
        <v>34</v>
      </c>
      <c r="B19" s="13">
        <v>266743.98</v>
      </c>
      <c r="C19" s="14">
        <f t="shared" si="12"/>
        <v>9.4170447632970101E-3</v>
      </c>
      <c r="D19" s="13">
        <v>269255.92</v>
      </c>
      <c r="E19" s="15">
        <f t="shared" si="13"/>
        <v>8.8136223708655901E-3</v>
      </c>
      <c r="F19" s="13">
        <v>271629.03999999998</v>
      </c>
      <c r="G19" s="16">
        <f t="shared" si="14"/>
        <v>1.4930767343580072E-2</v>
      </c>
      <c r="H19" s="13">
        <v>275684.67</v>
      </c>
      <c r="I19" s="15">
        <f t="shared" si="15"/>
        <v>0.17225977781064145</v>
      </c>
      <c r="J19" s="13">
        <v>323174.05</v>
      </c>
      <c r="K19" s="17">
        <f>(L19-J19)/J19</f>
        <v>8.8210671617971522E-3</v>
      </c>
      <c r="L19" s="13">
        <v>326024.78999999998</v>
      </c>
      <c r="M19" s="15">
        <f t="shared" si="16"/>
        <v>1.6631588045804731E-2</v>
      </c>
      <c r="N19" s="13">
        <v>331447.09999999998</v>
      </c>
      <c r="O19" s="15">
        <f t="shared" si="17"/>
        <v>6.2243115115504953E-3</v>
      </c>
      <c r="P19" s="13">
        <v>333510.13</v>
      </c>
      <c r="Q19" s="15">
        <f t="shared" si="18"/>
        <v>-1</v>
      </c>
      <c r="R19" s="13"/>
      <c r="S19" s="15" t="e">
        <f t="shared" si="19"/>
        <v>#DIV/0!</v>
      </c>
      <c r="T19" s="13"/>
      <c r="U19" s="15" t="e">
        <f t="shared" si="20"/>
        <v>#DIV/0!</v>
      </c>
      <c r="V19" s="13"/>
      <c r="W19" s="15" t="e">
        <f t="shared" si="21"/>
        <v>#DIV/0!</v>
      </c>
      <c r="X19" s="13"/>
      <c r="Y19" s="15" t="e">
        <f t="shared" si="22"/>
        <v>#DIV/0!</v>
      </c>
      <c r="Z19" s="13"/>
    </row>
    <row r="20" spans="1:26" ht="28" customHeight="1">
      <c r="A20" s="12" t="s">
        <v>35</v>
      </c>
      <c r="B20" s="13">
        <v>259216.54</v>
      </c>
      <c r="C20" s="14">
        <f t="shared" si="12"/>
        <v>2.1614361490975911E-2</v>
      </c>
      <c r="D20" s="13">
        <v>264819.34000000003</v>
      </c>
      <c r="E20" s="15">
        <f t="shared" si="13"/>
        <v>1.2229922482247602E-2</v>
      </c>
      <c r="F20" s="13">
        <v>268058.06</v>
      </c>
      <c r="G20" s="16">
        <f t="shared" si="14"/>
        <v>-6.1657164869432339E-3</v>
      </c>
      <c r="H20" s="13">
        <v>266405.28999999998</v>
      </c>
      <c r="I20" s="15">
        <f t="shared" si="15"/>
        <v>-0.17093579485602553</v>
      </c>
      <c r="J20" s="13">
        <v>220867.09</v>
      </c>
      <c r="K20" s="17">
        <f>(L20-J20)/J20</f>
        <v>3.5496008029081683E-3</v>
      </c>
      <c r="L20" s="13">
        <v>221651.08</v>
      </c>
      <c r="M20" s="15">
        <f t="shared" si="16"/>
        <v>-7.0699858534412647E-3</v>
      </c>
      <c r="N20" s="13">
        <v>220084.01</v>
      </c>
      <c r="O20" s="15">
        <f t="shared" si="17"/>
        <v>8.568091793674527E-3</v>
      </c>
      <c r="P20" s="13">
        <v>221969.71</v>
      </c>
      <c r="Q20" s="15">
        <f t="shared" si="18"/>
        <v>-1</v>
      </c>
      <c r="R20" s="18"/>
      <c r="S20" s="15" t="e">
        <f t="shared" si="19"/>
        <v>#DIV/0!</v>
      </c>
      <c r="T20" s="18"/>
      <c r="U20" s="15" t="e">
        <f t="shared" si="20"/>
        <v>#DIV/0!</v>
      </c>
      <c r="V20" s="13"/>
      <c r="W20" s="15" t="e">
        <f t="shared" si="21"/>
        <v>#DIV/0!</v>
      </c>
      <c r="X20" s="13"/>
      <c r="Y20" s="15" t="e">
        <f t="shared" si="22"/>
        <v>#DIV/0!</v>
      </c>
      <c r="Z20" s="13"/>
    </row>
    <row r="21" spans="1:26" ht="28" customHeight="1">
      <c r="A21" s="12" t="s">
        <v>36</v>
      </c>
      <c r="B21" s="13">
        <v>26243.279999999999</v>
      </c>
      <c r="C21" s="14">
        <f t="shared" si="12"/>
        <v>8.4010840108401139E-2</v>
      </c>
      <c r="D21" s="13">
        <v>28448</v>
      </c>
      <c r="E21" s="15">
        <f t="shared" si="13"/>
        <v>-1.7857142857142856E-2</v>
      </c>
      <c r="F21" s="13">
        <v>27940</v>
      </c>
      <c r="G21" s="16">
        <f t="shared" si="14"/>
        <v>-7.2727272727272724E-2</v>
      </c>
      <c r="H21" s="13">
        <v>25908</v>
      </c>
      <c r="I21" s="15">
        <f t="shared" si="15"/>
        <v>-5.0000000000000058E-2</v>
      </c>
      <c r="J21" s="13">
        <v>24612.6</v>
      </c>
      <c r="K21" s="17"/>
      <c r="L21" s="13">
        <v>24066.5</v>
      </c>
      <c r="M21" s="15">
        <f t="shared" si="16"/>
        <v>-5.8047493403694233E-3</v>
      </c>
      <c r="N21" s="13">
        <v>23926.799999999999</v>
      </c>
      <c r="O21" s="15">
        <f t="shared" si="17"/>
        <v>0</v>
      </c>
      <c r="P21" s="13">
        <v>23926.799999999999</v>
      </c>
      <c r="Q21" s="15">
        <f t="shared" si="18"/>
        <v>-1</v>
      </c>
      <c r="R21" s="18"/>
      <c r="S21" s="15" t="e">
        <f t="shared" si="19"/>
        <v>#DIV/0!</v>
      </c>
      <c r="T21" s="18"/>
      <c r="U21" s="15" t="e">
        <f t="shared" si="20"/>
        <v>#DIV/0!</v>
      </c>
      <c r="V21" s="13"/>
      <c r="W21" s="15" t="e">
        <f t="shared" si="21"/>
        <v>#DIV/0!</v>
      </c>
      <c r="X21" s="13"/>
      <c r="Y21" s="15" t="e">
        <f t="shared" si="22"/>
        <v>#DIV/0!</v>
      </c>
      <c r="Z21" s="13"/>
    </row>
    <row r="22" spans="1:26" ht="14.5" customHeight="1">
      <c r="A22" s="19" t="s">
        <v>37</v>
      </c>
      <c r="B22" s="20"/>
      <c r="C22" s="21"/>
      <c r="D22" s="20"/>
      <c r="E22" s="22"/>
      <c r="F22" s="20">
        <v>3134.74</v>
      </c>
      <c r="G22" s="23"/>
      <c r="H22" s="20">
        <v>3134.74</v>
      </c>
      <c r="I22" s="22"/>
      <c r="J22" s="20">
        <v>5075.08</v>
      </c>
      <c r="K22" s="24"/>
      <c r="L22" s="20">
        <v>18533.740000000002</v>
      </c>
      <c r="M22" s="22"/>
      <c r="N22" s="20">
        <f>18533.74</f>
        <v>18533.740000000002</v>
      </c>
      <c r="O22" s="22"/>
      <c r="P22" s="20">
        <v>346.5</v>
      </c>
      <c r="Q22" s="22"/>
      <c r="R22" s="20"/>
      <c r="S22" s="22"/>
      <c r="T22" s="25"/>
      <c r="U22" s="22"/>
      <c r="V22" s="20"/>
      <c r="W22" s="22"/>
      <c r="X22" s="20"/>
      <c r="Y22" s="22"/>
      <c r="Z22" s="20"/>
    </row>
    <row r="23" spans="1:26" ht="14">
      <c r="A23" s="26" t="s">
        <v>38</v>
      </c>
      <c r="B23" s="27">
        <f>SUM(B17:B22)</f>
        <v>682672.13</v>
      </c>
      <c r="C23" s="14">
        <f>(D23-B23)/B23</f>
        <v>1.5457112625939504E-2</v>
      </c>
      <c r="D23" s="27">
        <f>SUM(D17:D22)</f>
        <v>693224.27</v>
      </c>
      <c r="E23" s="15">
        <f>(F23-D23)/D23</f>
        <v>9.5144245310394109E-3</v>
      </c>
      <c r="F23" s="27">
        <f>SUM(F17:F22)</f>
        <v>699819.89999999991</v>
      </c>
      <c r="G23" s="16">
        <f>(H23-F23)/F23</f>
        <v>3.4415140238224354E-2</v>
      </c>
      <c r="H23" s="27">
        <f>SUM(H17:H22)</f>
        <v>723904.3</v>
      </c>
      <c r="I23" s="15">
        <f>(J23-H23)/H23</f>
        <v>-2.632828676387217E-2</v>
      </c>
      <c r="J23" s="27">
        <f>SUM(J17:J22)</f>
        <v>704845.1399999999</v>
      </c>
      <c r="K23" s="17">
        <f>(L23-J23)/J23</f>
        <v>5.1923887848614163E-3</v>
      </c>
      <c r="L23" s="27">
        <f>SUM(L17:L22)</f>
        <v>708504.97</v>
      </c>
      <c r="M23" s="15">
        <f>(N23-L23)/L23</f>
        <v>6.4897639320723862E-3</v>
      </c>
      <c r="N23" s="27">
        <f>SUM(N17:N22)</f>
        <v>713103</v>
      </c>
      <c r="O23" s="15">
        <f>(P23-N23)/N23</f>
        <v>6.9522214883404269E-3</v>
      </c>
      <c r="P23" s="27">
        <f>SUM(P17:P22)</f>
        <v>718060.65</v>
      </c>
      <c r="Q23" s="15">
        <f>(R23-P23)/P23</f>
        <v>-1</v>
      </c>
      <c r="R23" s="27">
        <f>SUM(R17:R22)</f>
        <v>0</v>
      </c>
      <c r="S23" s="15" t="e">
        <f>(T23-R23)/R23</f>
        <v>#DIV/0!</v>
      </c>
      <c r="T23" s="27">
        <f>SUM(T17:T22)</f>
        <v>0</v>
      </c>
      <c r="U23" s="15" t="e">
        <f>(V23-T23)/T23</f>
        <v>#DIV/0!</v>
      </c>
      <c r="V23" s="27">
        <f>SUM(V17:V22)</f>
        <v>0</v>
      </c>
      <c r="W23" s="15" t="e">
        <f>(X23-V23)/V23</f>
        <v>#DIV/0!</v>
      </c>
      <c r="X23" s="27">
        <f>SUM(X17:X22)</f>
        <v>0</v>
      </c>
      <c r="Y23" s="15" t="e">
        <f>(Z23-X23)/X23</f>
        <v>#DIV/0!</v>
      </c>
      <c r="Z23" s="27">
        <f>SUM(Z17:Z22)</f>
        <v>0</v>
      </c>
    </row>
    <row r="24" spans="1:26" ht="14">
      <c r="A24" s="12"/>
      <c r="B24" s="13"/>
      <c r="C24" s="14" t="e">
        <f>(D24-B24)/B24</f>
        <v>#DIV/0!</v>
      </c>
      <c r="D24" s="13"/>
      <c r="E24" s="15" t="e">
        <f>(F24-D24)/D24</f>
        <v>#DIV/0!</v>
      </c>
      <c r="F24" s="13"/>
      <c r="G24" s="16" t="e">
        <f>(H24-F24)/F24</f>
        <v>#DIV/0!</v>
      </c>
      <c r="H24" s="13"/>
      <c r="I24" s="15" t="e">
        <f>(J24-H24)/H24</f>
        <v>#DIV/0!</v>
      </c>
      <c r="J24" s="13"/>
      <c r="K24" s="17" t="e">
        <f>(L24-J24)/J24</f>
        <v>#DIV/0!</v>
      </c>
      <c r="L24" s="13"/>
      <c r="M24" s="15" t="e">
        <f>(N24-L24)/L24</f>
        <v>#DIV/0!</v>
      </c>
      <c r="N24" s="13"/>
      <c r="O24" s="15" t="e">
        <f>(P24-N24)/N24</f>
        <v>#DIV/0!</v>
      </c>
      <c r="P24" s="13"/>
      <c r="Q24" s="15" t="e">
        <f>(R24-P24)/P24</f>
        <v>#DIV/0!</v>
      </c>
      <c r="R24" s="18"/>
      <c r="S24" s="15" t="e">
        <f>(T24-R24)/R24</f>
        <v>#DIV/0!</v>
      </c>
      <c r="T24" s="18"/>
      <c r="U24" s="15" t="e">
        <f>(V24-T24)/T24</f>
        <v>#DIV/0!</v>
      </c>
      <c r="V24" s="13"/>
      <c r="W24" s="15" t="e">
        <f>(X24-V24)/V24</f>
        <v>#DIV/0!</v>
      </c>
      <c r="X24" s="13"/>
      <c r="Y24" s="15" t="e">
        <f>(Z24-X24)/X24</f>
        <v>#DIV/0!</v>
      </c>
      <c r="Z24" s="13"/>
    </row>
    <row r="25" spans="1:26" ht="13">
      <c r="A25" s="12"/>
      <c r="B25" s="13"/>
      <c r="C25" s="14"/>
      <c r="D25" s="13"/>
      <c r="E25" s="15"/>
      <c r="F25" s="13"/>
      <c r="G25" s="16"/>
      <c r="H25" s="13"/>
      <c r="I25" s="15"/>
      <c r="J25" s="13"/>
      <c r="K25" s="17"/>
      <c r="L25" s="13"/>
      <c r="M25" s="15"/>
      <c r="N25" s="13"/>
      <c r="O25" s="15"/>
      <c r="P25" s="13"/>
      <c r="Q25" s="15"/>
      <c r="R25" s="18"/>
      <c r="S25" s="15"/>
      <c r="T25" s="18"/>
      <c r="U25" s="15"/>
      <c r="V25" s="13"/>
      <c r="W25" s="15"/>
      <c r="X25" s="13"/>
      <c r="Y25" s="15"/>
      <c r="Z25" s="13"/>
    </row>
    <row r="26" spans="1:26" ht="28" customHeight="1">
      <c r="A26" s="12" t="s">
        <v>39</v>
      </c>
      <c r="B26" s="13">
        <v>3001433.43</v>
      </c>
      <c r="C26" s="14">
        <f>(D26-B26)/B26</f>
        <v>1.0237904893329472E-2</v>
      </c>
      <c r="D26" s="13">
        <v>3032161.82</v>
      </c>
      <c r="E26" s="15">
        <f>(F26-D26)/D26</f>
        <v>9.7702767064061433E-3</v>
      </c>
      <c r="F26" s="13">
        <v>3061786.88</v>
      </c>
      <c r="G26" s="16">
        <f>(H26-F26)/F26</f>
        <v>9.2442293044251132E-3</v>
      </c>
      <c r="H26" s="13">
        <v>3090090.74</v>
      </c>
      <c r="I26" s="15">
        <f>(J26-H26)/H26</f>
        <v>9.6089443638796759E-3</v>
      </c>
      <c r="J26" s="13">
        <v>3119783.25</v>
      </c>
      <c r="K26" s="17">
        <f>(L26-J26)/J26</f>
        <v>-0.62313701440636937</v>
      </c>
      <c r="L26" s="13">
        <v>1175730.83</v>
      </c>
      <c r="M26" s="15">
        <f>(N26-L26)/L26</f>
        <v>-0.250488345193772</v>
      </c>
      <c r="N26" s="13">
        <v>881223.96</v>
      </c>
      <c r="O26" s="15">
        <f>(P26-N26)/N26</f>
        <v>1.0198406316596379E-2</v>
      </c>
      <c r="P26" s="13">
        <v>890211.04</v>
      </c>
      <c r="Q26" s="15">
        <f>(R26-P26)/P26</f>
        <v>-1</v>
      </c>
      <c r="R26" s="13"/>
      <c r="S26" s="15" t="e">
        <f>(T26-R26)/R26</f>
        <v>#DIV/0!</v>
      </c>
      <c r="T26" s="13"/>
      <c r="U26" s="15" t="e">
        <f>(V26-T26)/T26</f>
        <v>#DIV/0!</v>
      </c>
      <c r="V26" s="13"/>
      <c r="W26" s="15" t="e">
        <f>(X26-V26)/V26</f>
        <v>#DIV/0!</v>
      </c>
      <c r="X26" s="13"/>
      <c r="Y26" s="15" t="e">
        <f>(Z26-X26)/X26</f>
        <v>#DIV/0!</v>
      </c>
      <c r="Z26" s="13"/>
    </row>
    <row r="27" spans="1:26" ht="28" customHeight="1">
      <c r="A27" s="12" t="s">
        <v>40</v>
      </c>
      <c r="B27" s="13">
        <v>3004.96</v>
      </c>
      <c r="C27" s="14">
        <f>(D27-B27)/B27</f>
        <v>1.2199829615036425E-2</v>
      </c>
      <c r="D27" s="13">
        <v>3041.62</v>
      </c>
      <c r="E27" s="15">
        <f>(F27-D27)/D27</f>
        <v>1.1641822449878785E-2</v>
      </c>
      <c r="F27" s="13">
        <v>3077.03</v>
      </c>
      <c r="G27" s="16">
        <f>(H27-F27)/F27</f>
        <v>1.1013867268112392E-2</v>
      </c>
      <c r="H27" s="13">
        <v>3110.92</v>
      </c>
      <c r="I27" s="15">
        <f>(J27-H27)/H27</f>
        <v>1.1449989070757168E-2</v>
      </c>
      <c r="J27" s="13">
        <v>3146.54</v>
      </c>
      <c r="K27" s="17">
        <f>(L27-J27)/J27</f>
        <v>1.0195325659295585E-2</v>
      </c>
      <c r="L27" s="13">
        <v>3178.62</v>
      </c>
      <c r="M27" s="15">
        <f>(N27-L27)/L27</f>
        <v>1.0671297607137711E-2</v>
      </c>
      <c r="N27" s="13">
        <v>3212.54</v>
      </c>
      <c r="O27" s="15">
        <f>(P27-N27)/N27</f>
        <v>1.2152377869224964E-2</v>
      </c>
      <c r="P27" s="13">
        <v>3251.58</v>
      </c>
      <c r="Q27" s="15">
        <f>(R27-P27)/P27</f>
        <v>-1</v>
      </c>
      <c r="R27" s="18"/>
      <c r="S27" s="15" t="e">
        <f>(T27-R27)/R27</f>
        <v>#DIV/0!</v>
      </c>
      <c r="T27" s="18"/>
      <c r="U27" s="15" t="e">
        <f>(V27-T27)/T27</f>
        <v>#DIV/0!</v>
      </c>
      <c r="V27" s="13"/>
      <c r="W27" s="15" t="e">
        <f>(X27-V27)/V27</f>
        <v>#DIV/0!</v>
      </c>
      <c r="X27" s="13"/>
      <c r="Y27" s="15" t="e">
        <f>(Z27-X27)/X27</f>
        <v>#DIV/0!</v>
      </c>
      <c r="Z27" s="13"/>
    </row>
    <row r="28" spans="1:26" ht="28" customHeight="1">
      <c r="A28" s="12" t="s">
        <v>41</v>
      </c>
      <c r="B28" s="13"/>
      <c r="C28" s="14" t="e">
        <f>(D28-B28)/B28</f>
        <v>#DIV/0!</v>
      </c>
      <c r="D28" s="13"/>
      <c r="E28" s="15" t="e">
        <f>(F28-D28)/D28</f>
        <v>#DIV/0!</v>
      </c>
      <c r="F28" s="13"/>
      <c r="G28" s="16" t="e">
        <f>(H28-F28)/F28</f>
        <v>#DIV/0!</v>
      </c>
      <c r="H28" s="13">
        <v>50390.45</v>
      </c>
      <c r="I28" s="15">
        <f>(J28-H28)/H28</f>
        <v>7.1565147761133837E-3</v>
      </c>
      <c r="J28" s="13">
        <v>50751.07</v>
      </c>
      <c r="K28" s="17"/>
      <c r="L28" s="13">
        <v>51178.22</v>
      </c>
      <c r="M28" s="15">
        <f>(N28-L28)/L28</f>
        <v>7.9422457443811285E-3</v>
      </c>
      <c r="N28" s="13">
        <v>51584.69</v>
      </c>
      <c r="O28" s="15">
        <f>(P28-N28)/N28</f>
        <v>1.7392369712796573E-2</v>
      </c>
      <c r="P28" s="13">
        <v>52481.87</v>
      </c>
      <c r="Q28" s="15">
        <f>(R28-P28)/P28</f>
        <v>-1</v>
      </c>
      <c r="R28" s="18"/>
      <c r="S28" s="15" t="e">
        <f>(T28-R28)/R28</f>
        <v>#DIV/0!</v>
      </c>
      <c r="T28" s="18"/>
      <c r="U28" s="15" t="e">
        <f>(V28-T28)/T28</f>
        <v>#DIV/0!</v>
      </c>
      <c r="V28" s="13"/>
      <c r="W28" s="15" t="e">
        <f>(X28-V28)/V28</f>
        <v>#DIV/0!</v>
      </c>
      <c r="X28" s="13"/>
      <c r="Y28" s="15" t="e">
        <f>(Z28-X28)/X28</f>
        <v>#DIV/0!</v>
      </c>
      <c r="Z28" s="13"/>
    </row>
    <row r="29" spans="1:26" ht="28" customHeight="1">
      <c r="A29" s="12" t="s">
        <v>42</v>
      </c>
      <c r="B29" s="13"/>
      <c r="C29" s="14" t="e">
        <f>(D29-B29)/B29</f>
        <v>#DIV/0!</v>
      </c>
      <c r="D29" s="13"/>
      <c r="E29" s="15" t="e">
        <f>(F29-D29)/D29</f>
        <v>#DIV/0!</v>
      </c>
      <c r="F29" s="13"/>
      <c r="G29" s="16" t="e">
        <f>(H29-F29)/F29</f>
        <v>#DIV/0!</v>
      </c>
      <c r="H29" s="13"/>
      <c r="I29" s="15" t="e">
        <f>(J29-H29)/H29</f>
        <v>#DIV/0!</v>
      </c>
      <c r="J29" s="13"/>
      <c r="K29" s="17"/>
      <c r="L29" s="13"/>
      <c r="M29" s="15" t="e">
        <f>(N29-L29)/L29</f>
        <v>#DIV/0!</v>
      </c>
      <c r="N29" s="13">
        <v>256.2</v>
      </c>
      <c r="O29" s="15">
        <f>(P29-N29)/N29</f>
        <v>1.6120218579234957E-2</v>
      </c>
      <c r="P29" s="13">
        <v>260.33</v>
      </c>
      <c r="Q29" s="15">
        <f>(R29-P29)/P29</f>
        <v>-1</v>
      </c>
      <c r="R29" s="18"/>
      <c r="S29" s="15" t="e">
        <f>(T29-R29)/R29</f>
        <v>#DIV/0!</v>
      </c>
      <c r="T29" s="18"/>
      <c r="U29" s="15" t="e">
        <f>(V29-T29)/T29</f>
        <v>#DIV/0!</v>
      </c>
      <c r="V29" s="13"/>
      <c r="W29" s="15" t="e">
        <f>(X29-V29)/V29</f>
        <v>#DIV/0!</v>
      </c>
      <c r="X29" s="13"/>
      <c r="Y29" s="15" t="e">
        <f>(Z29-X29)/X29</f>
        <v>#DIV/0!</v>
      </c>
      <c r="Z29" s="13"/>
    </row>
    <row r="30" spans="1:26" ht="14.5" customHeight="1">
      <c r="A30" s="19" t="s">
        <v>37</v>
      </c>
      <c r="B30" s="20"/>
      <c r="C30" s="21"/>
      <c r="D30" s="20">
        <v>629.87</v>
      </c>
      <c r="E30" s="22"/>
      <c r="F30" s="20">
        <v>252.98</v>
      </c>
      <c r="G30" s="23"/>
      <c r="H30" s="20">
        <v>7394.32</v>
      </c>
      <c r="I30" s="22"/>
      <c r="J30" s="20">
        <v>30253.35</v>
      </c>
      <c r="K30" s="24"/>
      <c r="L30" s="20">
        <f>45280.89+9467.51</f>
        <v>54748.4</v>
      </c>
      <c r="M30" s="22"/>
      <c r="N30" s="20">
        <f>14237.6+20918.61</f>
        <v>35156.21</v>
      </c>
      <c r="O30" s="22"/>
      <c r="P30" s="20">
        <f>14237.6+12838.3</f>
        <v>27075.9</v>
      </c>
      <c r="Q30" s="22"/>
      <c r="R30" s="20"/>
      <c r="S30" s="22"/>
      <c r="T30" s="25"/>
      <c r="U30" s="22"/>
      <c r="V30" s="20"/>
      <c r="W30" s="22"/>
      <c r="X30" s="20"/>
      <c r="Y30" s="22"/>
      <c r="Z30" s="20"/>
    </row>
    <row r="31" spans="1:26" ht="14">
      <c r="A31" s="26" t="s">
        <v>43</v>
      </c>
      <c r="B31" s="27">
        <f>SUM(B24:B30)</f>
        <v>3004438.39</v>
      </c>
      <c r="C31" s="14">
        <f>(D31-B31)/B31</f>
        <v>1.0449513661020662E-2</v>
      </c>
      <c r="D31" s="27">
        <f>SUM(D24:D30)</f>
        <v>3035833.31</v>
      </c>
      <c r="E31" s="15">
        <f>(F31-D31)/D31</f>
        <v>9.6459775652173764E-3</v>
      </c>
      <c r="F31" s="27">
        <f>SUM(F24:F30)</f>
        <v>3065116.8899999997</v>
      </c>
      <c r="G31" s="16">
        <f>(H31-F31)/F31</f>
        <v>2.8015094719601546E-2</v>
      </c>
      <c r="H31" s="27">
        <f>SUM(H24:H30)</f>
        <v>3150986.43</v>
      </c>
      <c r="I31" s="15">
        <f>(J31-H31)/H31</f>
        <v>1.6803556973744183E-2</v>
      </c>
      <c r="J31" s="27">
        <f>SUM(J24:J30)</f>
        <v>3203934.21</v>
      </c>
      <c r="K31" s="17">
        <f>(L31-J31)/J31</f>
        <v>-0.59898175624523819</v>
      </c>
      <c r="L31" s="27">
        <f>SUM(L24:L30)</f>
        <v>1284836.07</v>
      </c>
      <c r="M31" s="15">
        <f>(N31-L31)/L31</f>
        <v>-0.24392409064294107</v>
      </c>
      <c r="N31" s="27">
        <f>SUM(N24:N30)</f>
        <v>971433.59999999986</v>
      </c>
      <c r="O31" s="15">
        <f>(P31-N31)/N31</f>
        <v>1.9014372160898203E-3</v>
      </c>
      <c r="P31" s="27">
        <f>SUM(P24:P30)</f>
        <v>973280.72</v>
      </c>
      <c r="Q31" s="15">
        <f>(R31-P31)/P31</f>
        <v>-1</v>
      </c>
      <c r="R31" s="27">
        <f>SUM(R24:R30)</f>
        <v>0</v>
      </c>
      <c r="S31" s="15" t="e">
        <f>(T31-R31)/R31</f>
        <v>#DIV/0!</v>
      </c>
      <c r="T31" s="27">
        <f>SUM(T24:T30)</f>
        <v>0</v>
      </c>
      <c r="U31" s="15" t="e">
        <f>(V31-T31)/T31</f>
        <v>#DIV/0!</v>
      </c>
      <c r="V31" s="27">
        <f>SUM(V24:V30)</f>
        <v>0</v>
      </c>
      <c r="W31" s="15" t="e">
        <f>(X31-V31)/V31</f>
        <v>#DIV/0!</v>
      </c>
      <c r="X31" s="27">
        <f>SUM(X24:X30)</f>
        <v>0</v>
      </c>
      <c r="Y31" s="15" t="e">
        <f>(Z31-X31)/X31</f>
        <v>#DIV/0!</v>
      </c>
      <c r="Z31" s="27">
        <f>SUM(Z24:Z30)</f>
        <v>0</v>
      </c>
    </row>
    <row r="32" spans="1:26" ht="12.75" customHeight="1">
      <c r="A32" s="12"/>
      <c r="B32" s="13"/>
      <c r="C32" s="14"/>
      <c r="D32" s="13"/>
      <c r="E32" s="15"/>
      <c r="F32" s="13"/>
      <c r="G32" s="16"/>
      <c r="H32" s="13"/>
      <c r="I32" s="15"/>
      <c r="J32" s="13"/>
      <c r="K32" s="17"/>
      <c r="L32" s="13"/>
      <c r="M32" s="15"/>
      <c r="N32" s="13"/>
      <c r="O32" s="15"/>
      <c r="P32" s="13"/>
      <c r="Q32" s="15"/>
      <c r="R32" s="18"/>
      <c r="S32" s="15"/>
      <c r="T32" s="18"/>
      <c r="U32" s="15"/>
      <c r="V32" s="13"/>
      <c r="W32" s="15"/>
      <c r="X32" s="13"/>
      <c r="Y32" s="15"/>
      <c r="Z32" s="13"/>
    </row>
    <row r="33" spans="1:61" ht="13">
      <c r="A33" s="12"/>
      <c r="B33" s="13"/>
      <c r="C33" s="14"/>
      <c r="D33" s="13"/>
      <c r="E33" s="15"/>
      <c r="F33" s="13"/>
      <c r="G33" s="16"/>
      <c r="H33" s="13"/>
      <c r="I33" s="15"/>
      <c r="J33" s="13"/>
      <c r="K33" s="17"/>
      <c r="L33" s="13"/>
      <c r="M33" s="15"/>
      <c r="N33" s="13"/>
      <c r="O33" s="15"/>
      <c r="P33" s="13"/>
      <c r="Q33" s="15"/>
      <c r="R33" s="18"/>
      <c r="S33" s="15"/>
      <c r="T33" s="18"/>
      <c r="U33" s="15"/>
      <c r="V33" s="13"/>
      <c r="W33" s="15"/>
      <c r="X33" s="13"/>
      <c r="Y33" s="15"/>
      <c r="Z33" s="13"/>
    </row>
    <row r="34" spans="1:61" ht="23.25" customHeight="1">
      <c r="A34" s="28" t="s">
        <v>44</v>
      </c>
      <c r="B34" s="29">
        <f>SUM(B9+B16+B23+B31)</f>
        <v>6777389.6299999999</v>
      </c>
      <c r="C34" s="3">
        <f>(D34-B34)/B34</f>
        <v>7.7678874720392291E-4</v>
      </c>
      <c r="D34" s="29">
        <f>SUM(D9+D16+D23+D31)</f>
        <v>6782654.2300000004</v>
      </c>
      <c r="E34" s="3">
        <f>(F34-D34)/D34</f>
        <v>1.2620046238152289E-2</v>
      </c>
      <c r="F34" s="29">
        <f>SUM(F9+F16+F23+F31)</f>
        <v>6868251.6399999997</v>
      </c>
      <c r="G34" s="3">
        <f>(H34-F34)/F34</f>
        <v>1.4849051162604241E-2</v>
      </c>
      <c r="H34" s="29">
        <f>SUM(H9+H16+H23+H31)</f>
        <v>6970238.6600000001</v>
      </c>
      <c r="I34" s="3">
        <f>(J34-H34)/H34</f>
        <v>4.2484470682384754E-3</v>
      </c>
      <c r="J34" s="29">
        <f>SUM(J9+J16+J23+J31)</f>
        <v>6999851.3499999996</v>
      </c>
      <c r="K34" s="3">
        <f>(L34-J34)/J34</f>
        <v>-0.27262841803061999</v>
      </c>
      <c r="L34" s="29">
        <f>SUM(L9+L16+L23+L31)</f>
        <v>5091492.95</v>
      </c>
      <c r="M34" s="3">
        <f>(N34-L34)/L34</f>
        <v>-0.11501367590030745</v>
      </c>
      <c r="N34" s="29">
        <f>SUM(N9+N16+N23+N31)</f>
        <v>4505901.63</v>
      </c>
      <c r="O34" s="3">
        <f>(P34-N34)/N34</f>
        <v>-8.6095374878390335E-2</v>
      </c>
      <c r="P34" s="29">
        <f>SUM(P9+P16+P23+P31)</f>
        <v>4117964.34</v>
      </c>
      <c r="Q34" s="3">
        <f>(R34-P34)/P34</f>
        <v>-1</v>
      </c>
      <c r="R34" s="29">
        <f>SUM(R9+R16+R23+R31)</f>
        <v>0</v>
      </c>
      <c r="S34" s="3" t="e">
        <f>(T34-R34)/R34</f>
        <v>#DIV/0!</v>
      </c>
      <c r="T34" s="29">
        <f>SUM(T9+T16+T23+T31)</f>
        <v>0</v>
      </c>
      <c r="U34" s="3" t="e">
        <f>(V34-T34)/T34</f>
        <v>#DIV/0!</v>
      </c>
      <c r="V34" s="29">
        <f>SUM(V9+V16+V23+V31)</f>
        <v>0</v>
      </c>
      <c r="W34" s="3" t="e">
        <f>(X34-V34)/V34</f>
        <v>#DIV/0!</v>
      </c>
      <c r="X34" s="29">
        <f>SUM(X9+X16+X23+X31)</f>
        <v>0</v>
      </c>
      <c r="Y34" s="3" t="e">
        <f>(Z34-X34)/X34</f>
        <v>#DIV/0!</v>
      </c>
      <c r="Z34" s="29">
        <f>SUM(Z9+Z16+Z23+Z31)</f>
        <v>0</v>
      </c>
      <c r="AA34" s="30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</row>
    <row r="35" spans="1:61" ht="13">
      <c r="A35" s="32"/>
      <c r="B35" s="33"/>
      <c r="C35" s="34"/>
      <c r="D35" s="33"/>
      <c r="E35" s="34"/>
      <c r="F35" s="33"/>
      <c r="G35" s="35"/>
      <c r="H35" s="33"/>
      <c r="I35" s="34"/>
      <c r="K35" s="37"/>
      <c r="L35" s="33"/>
      <c r="M35" s="34"/>
      <c r="N35" s="33"/>
      <c r="O35" s="34"/>
      <c r="P35" s="33"/>
      <c r="Q35" s="34"/>
      <c r="R35" s="33"/>
      <c r="S35" s="34"/>
      <c r="T35" s="33"/>
      <c r="U35" s="34"/>
      <c r="V35" s="33"/>
      <c r="W35" s="34"/>
      <c r="X35" s="33"/>
      <c r="Y35" s="34"/>
      <c r="Z35" s="33"/>
      <c r="AA35" s="38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</row>
    <row r="36" spans="1:61" ht="13">
      <c r="A36" s="32"/>
      <c r="B36" s="33"/>
      <c r="C36" s="34"/>
      <c r="D36" s="33"/>
      <c r="E36" s="34"/>
      <c r="F36" s="33"/>
      <c r="G36" s="35"/>
      <c r="H36" s="33"/>
      <c r="I36" s="34"/>
      <c r="J36" s="33"/>
      <c r="K36" s="37"/>
      <c r="L36" s="33"/>
      <c r="M36" s="34"/>
      <c r="N36" s="33"/>
      <c r="O36" s="34"/>
      <c r="P36" s="33"/>
      <c r="Q36" s="34"/>
      <c r="R36" s="33"/>
      <c r="S36" s="34"/>
      <c r="T36" s="33"/>
      <c r="U36" s="34"/>
      <c r="V36" s="33"/>
      <c r="W36" s="34"/>
      <c r="X36" s="33"/>
      <c r="Y36" s="34"/>
      <c r="Z36" s="33"/>
      <c r="AA36" s="38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</row>
    <row r="37" spans="1:61" ht="25.25" customHeight="1">
      <c r="A37" s="1" t="s">
        <v>0</v>
      </c>
      <c r="B37" s="2" t="s">
        <v>1</v>
      </c>
      <c r="C37" s="3" t="s">
        <v>2</v>
      </c>
      <c r="D37" s="1" t="s">
        <v>3</v>
      </c>
      <c r="E37" s="3" t="s">
        <v>4</v>
      </c>
      <c r="F37" s="1" t="s">
        <v>5</v>
      </c>
      <c r="G37" s="4" t="s">
        <v>6</v>
      </c>
      <c r="H37" s="1" t="s">
        <v>7</v>
      </c>
      <c r="I37" s="3" t="s">
        <v>8</v>
      </c>
      <c r="J37" s="1" t="s">
        <v>9</v>
      </c>
      <c r="K37" s="5" t="s">
        <v>10</v>
      </c>
      <c r="L37" s="1" t="s">
        <v>11</v>
      </c>
      <c r="M37" s="3" t="s">
        <v>12</v>
      </c>
      <c r="N37" s="1" t="s">
        <v>13</v>
      </c>
      <c r="O37" s="3" t="s">
        <v>14</v>
      </c>
      <c r="P37" s="1" t="s">
        <v>15</v>
      </c>
      <c r="Q37" s="3" t="s">
        <v>16</v>
      </c>
      <c r="R37" s="1" t="s">
        <v>17</v>
      </c>
      <c r="S37" s="3" t="s">
        <v>18</v>
      </c>
      <c r="T37" s="1" t="s">
        <v>19</v>
      </c>
      <c r="U37" s="3" t="s">
        <v>20</v>
      </c>
      <c r="V37" s="1" t="s">
        <v>21</v>
      </c>
      <c r="W37" s="3" t="s">
        <v>22</v>
      </c>
      <c r="X37" s="1" t="s">
        <v>23</v>
      </c>
      <c r="Y37" s="3" t="s">
        <v>24</v>
      </c>
      <c r="Z37" s="1" t="s">
        <v>25</v>
      </c>
    </row>
    <row r="38" spans="1:61" ht="27.25" customHeight="1">
      <c r="A38" s="12"/>
      <c r="B38" s="40"/>
      <c r="C38" s="14" t="e">
        <f>(D38-B38)/B38</f>
        <v>#DIV/0!</v>
      </c>
      <c r="D38" s="40"/>
      <c r="E38" s="15" t="e">
        <f>(F38-D38)/D38</f>
        <v>#DIV/0!</v>
      </c>
      <c r="F38" s="40"/>
      <c r="G38" s="16" t="e">
        <f>(H38-F38)/F38</f>
        <v>#DIV/0!</v>
      </c>
      <c r="H38" s="40"/>
      <c r="I38" s="15" t="e">
        <f>(J38-H38)/H38</f>
        <v>#DIV/0!</v>
      </c>
      <c r="J38" s="40"/>
      <c r="K38" s="17" t="e">
        <f>(L38-J38)/J38</f>
        <v>#DIV/0!</v>
      </c>
      <c r="L38" s="40"/>
      <c r="M38" s="15" t="e">
        <f>(N38-L38)/L38</f>
        <v>#DIV/0!</v>
      </c>
      <c r="N38" s="40"/>
      <c r="O38" s="15" t="e">
        <f>(P38-N38)/N38</f>
        <v>#DIV/0!</v>
      </c>
      <c r="P38" s="40"/>
      <c r="Q38" s="15" t="e">
        <f>(R38-P38)/P38</f>
        <v>#DIV/0!</v>
      </c>
      <c r="R38" s="40"/>
      <c r="S38" s="15" t="e">
        <f>(T38-R38)/R38</f>
        <v>#DIV/0!</v>
      </c>
      <c r="T38" s="40"/>
      <c r="U38" s="15" t="e">
        <f>(V38-T38)/T38</f>
        <v>#DIV/0!</v>
      </c>
      <c r="V38" s="40"/>
      <c r="W38" s="15" t="e">
        <f>(X38-V38)/V38</f>
        <v>#DIV/0!</v>
      </c>
      <c r="X38" s="40"/>
      <c r="Y38" s="15" t="e">
        <f>(Z38-X38)/X38</f>
        <v>#DIV/0!</v>
      </c>
      <c r="Z38" s="40"/>
    </row>
    <row r="39" spans="1:61" ht="28" customHeight="1">
      <c r="A39" s="12"/>
      <c r="B39" s="40"/>
      <c r="C39" s="14" t="e">
        <f>(D39-B39)/B39</f>
        <v>#DIV/0!</v>
      </c>
      <c r="D39" s="40"/>
      <c r="E39" s="15" t="e">
        <f>(F39-D39)/D39</f>
        <v>#DIV/0!</v>
      </c>
      <c r="F39" s="40"/>
      <c r="G39" s="16" t="e">
        <f>(H39-F39)/F39</f>
        <v>#DIV/0!</v>
      </c>
      <c r="H39" s="40"/>
      <c r="I39" s="15" t="e">
        <f>(J39-H39)/H39</f>
        <v>#DIV/0!</v>
      </c>
      <c r="J39" s="40"/>
      <c r="K39" s="17" t="e">
        <f>(L39-J39)/J39</f>
        <v>#DIV/0!</v>
      </c>
      <c r="L39" s="40"/>
      <c r="M39" s="15" t="e">
        <f>(N39-L39)/L39</f>
        <v>#DIV/0!</v>
      </c>
      <c r="N39" s="40"/>
      <c r="O39" s="15" t="e">
        <f>(P39-N39)/N39</f>
        <v>#DIV/0!</v>
      </c>
      <c r="P39" s="40"/>
      <c r="Q39" s="15" t="e">
        <f>(R39-P39)/P39</f>
        <v>#DIV/0!</v>
      </c>
      <c r="R39" s="40"/>
      <c r="S39" s="15" t="e">
        <f>(T39-R39)/R39</f>
        <v>#DIV/0!</v>
      </c>
      <c r="T39" s="40"/>
      <c r="U39" s="15" t="e">
        <f>(V39-T39)/T39</f>
        <v>#DIV/0!</v>
      </c>
      <c r="V39" s="40"/>
      <c r="W39" s="15" t="e">
        <f>(X39-V39)/V39</f>
        <v>#DIV/0!</v>
      </c>
      <c r="X39" s="40"/>
      <c r="Y39" s="15" t="e">
        <f>(Z39-X39)/X39</f>
        <v>#DIV/0!</v>
      </c>
      <c r="Z39" s="40"/>
    </row>
    <row r="40" spans="1:61" ht="28" customHeight="1">
      <c r="A40" s="12"/>
      <c r="B40" s="40"/>
      <c r="C40" s="14" t="e">
        <f>(D40-B40)/B40</f>
        <v>#DIV/0!</v>
      </c>
      <c r="D40" s="40"/>
      <c r="E40" s="15" t="e">
        <f>(F40-D40)/D40</f>
        <v>#DIV/0!</v>
      </c>
      <c r="F40" s="40"/>
      <c r="G40" s="16" t="e">
        <f>(H40-F40)/F40</f>
        <v>#DIV/0!</v>
      </c>
      <c r="H40" s="40"/>
      <c r="I40" s="15" t="e">
        <f>(J40-H40)/H40</f>
        <v>#DIV/0!</v>
      </c>
      <c r="J40" s="40"/>
      <c r="K40" s="17"/>
      <c r="L40" s="40"/>
      <c r="M40" s="15"/>
      <c r="N40" s="40"/>
      <c r="O40" s="15"/>
      <c r="P40" s="40"/>
      <c r="Q40" s="15"/>
      <c r="R40" s="40"/>
      <c r="S40" s="15"/>
      <c r="T40" s="40"/>
      <c r="U40" s="15"/>
      <c r="V40" s="40"/>
      <c r="W40" s="15"/>
      <c r="X40" s="40"/>
      <c r="Y40" s="15"/>
      <c r="Z40" s="40"/>
    </row>
    <row r="41" spans="1:61" ht="14.5" customHeight="1">
      <c r="A41" s="19" t="s">
        <v>29</v>
      </c>
      <c r="B41" s="41">
        <v>26635.74</v>
      </c>
      <c r="C41" s="21"/>
      <c r="D41" s="41">
        <f>22589.44+7743.1</f>
        <v>30332.54</v>
      </c>
      <c r="E41" s="22"/>
      <c r="F41" s="41">
        <f>86904.17-60000</f>
        <v>26904.17</v>
      </c>
      <c r="G41" s="23"/>
      <c r="H41" s="41">
        <f>114533.22-90000</f>
        <v>24533.22</v>
      </c>
      <c r="I41" s="22"/>
      <c r="J41" s="41">
        <f>45351.77-30000</f>
        <v>15351.769999999997</v>
      </c>
      <c r="K41" s="24"/>
      <c r="L41" s="41">
        <v>13043.29</v>
      </c>
      <c r="M41" s="22"/>
      <c r="N41" s="41">
        <v>58833.43</v>
      </c>
      <c r="O41" s="22"/>
      <c r="P41" s="41">
        <v>166155.01</v>
      </c>
      <c r="Q41" s="22"/>
      <c r="R41" s="41"/>
      <c r="S41" s="22"/>
      <c r="T41" s="41"/>
      <c r="U41" s="22"/>
      <c r="V41" s="41"/>
      <c r="W41" s="22"/>
      <c r="X41" s="41"/>
      <c r="Y41" s="22"/>
      <c r="Z41" s="41"/>
    </row>
    <row r="42" spans="1:61" ht="20.5" customHeight="1">
      <c r="A42" s="42" t="s">
        <v>45</v>
      </c>
      <c r="B42" s="43">
        <f>SUM(B38:B41)</f>
        <v>26635.74</v>
      </c>
      <c r="C42" s="44">
        <f>(D42-B42)/B42</f>
        <v>0.13879096281912945</v>
      </c>
      <c r="D42" s="43">
        <f>SUM(D38:D41)</f>
        <v>30332.54</v>
      </c>
      <c r="E42" s="45">
        <f>(F42-D42)/D42</f>
        <v>-0.11302614288153918</v>
      </c>
      <c r="F42" s="43">
        <f>SUM(F38:F41)</f>
        <v>26904.17</v>
      </c>
      <c r="G42" s="46">
        <f>(H42-F42)/F42</f>
        <v>-8.8125744076104087E-2</v>
      </c>
      <c r="H42" s="43">
        <f>SUM(H38:H41)</f>
        <v>24533.22</v>
      </c>
      <c r="I42" s="45">
        <f>(J42-H42)/H42</f>
        <v>-0.3742456147215899</v>
      </c>
      <c r="J42" s="43">
        <f>SUM(J38:J41)</f>
        <v>15351.769999999997</v>
      </c>
      <c r="K42" s="47">
        <f>(L42-J42)/J42</f>
        <v>-0.15037223720782661</v>
      </c>
      <c r="L42" s="43">
        <f>SUM(L38:L41)</f>
        <v>13043.29</v>
      </c>
      <c r="M42" s="45">
        <f>(N42-L42)/L42</f>
        <v>3.5106280700651444</v>
      </c>
      <c r="N42" s="43">
        <f>SUM(N38:N41)</f>
        <v>58833.43</v>
      </c>
      <c r="O42" s="45">
        <f>(P42-N42)/N42</f>
        <v>1.8241598356580606</v>
      </c>
      <c r="P42" s="43">
        <f>SUM(P38:P41)</f>
        <v>166155.01</v>
      </c>
      <c r="Q42" s="45">
        <f>(R42-P42)/P42</f>
        <v>-1</v>
      </c>
      <c r="R42" s="43">
        <f>SUM(R38:R41)</f>
        <v>0</v>
      </c>
      <c r="S42" s="45" t="e">
        <f>(T42-R42)/R42</f>
        <v>#DIV/0!</v>
      </c>
      <c r="T42" s="43">
        <f>SUM(T38:T41)</f>
        <v>0</v>
      </c>
      <c r="U42" s="45" t="e">
        <f>(V42-T42)/T42</f>
        <v>#DIV/0!</v>
      </c>
      <c r="V42" s="43">
        <f>SUM(V38:V41)</f>
        <v>0</v>
      </c>
      <c r="W42" s="45" t="e">
        <f>(X42-V42)/V42</f>
        <v>#DIV/0!</v>
      </c>
      <c r="X42" s="43">
        <f>SUM(X38:X41)</f>
        <v>0</v>
      </c>
      <c r="Y42" s="45" t="e">
        <f>(Z42-X42)/X42</f>
        <v>#DIV/0!</v>
      </c>
      <c r="Z42" s="43">
        <f>SUM(Z38:Z41)</f>
        <v>0</v>
      </c>
      <c r="AA42" s="48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</row>
    <row r="43" spans="1:61" ht="12" customHeight="1">
      <c r="A43" s="50"/>
      <c r="B43" s="51"/>
      <c r="C43" s="52"/>
      <c r="D43" s="51"/>
      <c r="E43" s="53"/>
      <c r="F43" s="51"/>
      <c r="G43" s="54"/>
      <c r="H43" s="51"/>
      <c r="I43" s="53"/>
      <c r="J43" s="51"/>
      <c r="K43" s="55"/>
      <c r="L43" s="51"/>
      <c r="M43" s="53"/>
      <c r="N43" s="51"/>
      <c r="O43" s="53"/>
      <c r="P43" s="51"/>
      <c r="Q43" s="53"/>
      <c r="R43" s="51"/>
      <c r="S43" s="53"/>
      <c r="T43" s="51"/>
      <c r="U43" s="53"/>
      <c r="V43" s="51"/>
      <c r="W43" s="53"/>
      <c r="X43" s="51"/>
      <c r="Y43" s="53"/>
      <c r="Z43" s="51"/>
      <c r="AA43" s="56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</row>
    <row r="44" spans="1:61" ht="25.25" customHeight="1">
      <c r="A44" s="1" t="s">
        <v>0</v>
      </c>
      <c r="B44" s="2" t="s">
        <v>1</v>
      </c>
      <c r="C44" s="3" t="s">
        <v>2</v>
      </c>
      <c r="D44" s="1" t="s">
        <v>3</v>
      </c>
      <c r="E44" s="3" t="s">
        <v>4</v>
      </c>
      <c r="F44" s="1" t="s">
        <v>5</v>
      </c>
      <c r="G44" s="4" t="s">
        <v>6</v>
      </c>
      <c r="H44" s="1" t="s">
        <v>7</v>
      </c>
      <c r="I44" s="3" t="s">
        <v>8</v>
      </c>
      <c r="J44" s="1" t="s">
        <v>9</v>
      </c>
      <c r="K44" s="5" t="s">
        <v>10</v>
      </c>
      <c r="L44" s="1" t="s">
        <v>11</v>
      </c>
      <c r="M44" s="3" t="s">
        <v>12</v>
      </c>
      <c r="N44" s="1" t="s">
        <v>13</v>
      </c>
      <c r="O44" s="3" t="s">
        <v>14</v>
      </c>
      <c r="P44" s="1" t="s">
        <v>15</v>
      </c>
      <c r="Q44" s="3" t="s">
        <v>16</v>
      </c>
      <c r="R44" s="1" t="s">
        <v>17</v>
      </c>
      <c r="S44" s="3" t="s">
        <v>18</v>
      </c>
      <c r="T44" s="1" t="s">
        <v>19</v>
      </c>
      <c r="U44" s="3" t="s">
        <v>20</v>
      </c>
      <c r="V44" s="1" t="s">
        <v>21</v>
      </c>
      <c r="W44" s="3" t="s">
        <v>22</v>
      </c>
      <c r="X44" s="1" t="s">
        <v>23</v>
      </c>
      <c r="Y44" s="3" t="s">
        <v>24</v>
      </c>
      <c r="Z44" s="1" t="s">
        <v>25</v>
      </c>
    </row>
    <row r="45" spans="1:61" ht="27.25" customHeight="1">
      <c r="A45" s="12"/>
      <c r="B45" s="40"/>
      <c r="C45" s="14" t="e">
        <f>(D45-B45)/B45</f>
        <v>#DIV/0!</v>
      </c>
      <c r="D45" s="40"/>
      <c r="E45" s="15" t="e">
        <f>(F45-D45)/D45</f>
        <v>#DIV/0!</v>
      </c>
      <c r="F45" s="40"/>
      <c r="G45" s="16" t="e">
        <f>(H45-F45)/F45</f>
        <v>#DIV/0!</v>
      </c>
      <c r="H45" s="40"/>
      <c r="I45" s="15" t="e">
        <f>(J45-H45)/H45</f>
        <v>#DIV/0!</v>
      </c>
      <c r="J45" s="40"/>
      <c r="K45" s="17" t="e">
        <f>(L45-J45)/J45</f>
        <v>#DIV/0!</v>
      </c>
      <c r="L45" s="40"/>
      <c r="M45" s="15" t="e">
        <f>(N45-L45)/L45</f>
        <v>#DIV/0!</v>
      </c>
      <c r="N45" s="40"/>
      <c r="O45" s="15" t="e">
        <f>(P45-N45)/N45</f>
        <v>#DIV/0!</v>
      </c>
      <c r="P45" s="40"/>
      <c r="Q45" s="15" t="e">
        <f>(R45-P45)/P45</f>
        <v>#DIV/0!</v>
      </c>
      <c r="R45" s="40"/>
      <c r="S45" s="15" t="e">
        <f>(T45-R45)/R45</f>
        <v>#DIV/0!</v>
      </c>
      <c r="T45" s="40"/>
      <c r="U45" s="15" t="e">
        <f>(V45-T45)/T45</f>
        <v>#DIV/0!</v>
      </c>
      <c r="V45" s="40"/>
      <c r="W45" s="15" t="e">
        <f>(X45-V45)/V45</f>
        <v>#DIV/0!</v>
      </c>
      <c r="X45" s="40"/>
      <c r="Y45" s="15" t="e">
        <f>(Z45-X45)/X45</f>
        <v>#DIV/0!</v>
      </c>
      <c r="Z45" s="40"/>
    </row>
    <row r="46" spans="1:61" ht="28" customHeight="1">
      <c r="A46" s="12" t="s">
        <v>46</v>
      </c>
      <c r="B46" s="40">
        <v>216262.59</v>
      </c>
      <c r="C46" s="14">
        <f>(D46-B46)/B46</f>
        <v>3.51826915602923E-3</v>
      </c>
      <c r="D46" s="40">
        <v>217023.46</v>
      </c>
      <c r="E46" s="15">
        <f>(F46-D46)/D46</f>
        <v>3.5059343353939496E-3</v>
      </c>
      <c r="F46" s="40">
        <v>217784.33</v>
      </c>
      <c r="G46" s="16">
        <f>(H46-F46)/F46</f>
        <v>2.9643087728121503E-3</v>
      </c>
      <c r="H46" s="40">
        <v>218429.91</v>
      </c>
      <c r="I46" s="15">
        <f>(J46-H46)/H46</f>
        <v>3.3778341070598208E-3</v>
      </c>
      <c r="J46" s="40">
        <v>219167.73</v>
      </c>
      <c r="K46" s="17">
        <f>(L46-J46)/J46</f>
        <v>-1.7170684753635989E-2</v>
      </c>
      <c r="L46" s="40">
        <v>215404.47</v>
      </c>
      <c r="M46" s="15">
        <f>(N46-L46)/L46</f>
        <v>2.9588058223675513E-3</v>
      </c>
      <c r="N46" s="40">
        <v>216041.81</v>
      </c>
      <c r="O46" s="15">
        <f>(P46-N46)/N46</f>
        <v>3.3600440581385773E-3</v>
      </c>
      <c r="P46" s="40">
        <v>216767.72</v>
      </c>
      <c r="Q46" s="15">
        <f>(R46-P46)/P46</f>
        <v>-1</v>
      </c>
      <c r="R46" s="40"/>
      <c r="S46" s="15" t="e">
        <f>(T46-R46)/R46</f>
        <v>#DIV/0!</v>
      </c>
      <c r="T46" s="40"/>
      <c r="U46" s="15" t="e">
        <f>(V46-T46)/T46</f>
        <v>#DIV/0!</v>
      </c>
      <c r="V46" s="40"/>
      <c r="W46" s="15" t="e">
        <f>(X46-V46)/V46</f>
        <v>#DIV/0!</v>
      </c>
      <c r="X46" s="40"/>
      <c r="Y46" s="15" t="e">
        <f>(Z46-X46)/X46</f>
        <v>#DIV/0!</v>
      </c>
      <c r="Z46" s="40"/>
    </row>
    <row r="47" spans="1:61" ht="28" customHeight="1">
      <c r="A47" s="12"/>
      <c r="B47" s="40"/>
      <c r="C47" s="14" t="e">
        <f>(D47-B47)/B47</f>
        <v>#DIV/0!</v>
      </c>
      <c r="D47" s="40"/>
      <c r="E47" s="15" t="e">
        <f>(F47-D47)/D47</f>
        <v>#DIV/0!</v>
      </c>
      <c r="F47" s="40"/>
      <c r="G47" s="16" t="e">
        <f>(H47-F47)/F47</f>
        <v>#DIV/0!</v>
      </c>
      <c r="H47" s="40"/>
      <c r="I47" s="15" t="e">
        <f>(J47-H47)/H47</f>
        <v>#DIV/0!</v>
      </c>
      <c r="J47" s="40"/>
      <c r="K47" s="17"/>
      <c r="L47" s="40"/>
      <c r="M47" s="15"/>
      <c r="N47" s="40"/>
      <c r="O47" s="15"/>
      <c r="P47" s="40"/>
      <c r="Q47" s="15"/>
      <c r="R47" s="40"/>
      <c r="S47" s="15"/>
      <c r="T47" s="40"/>
      <c r="U47" s="15"/>
      <c r="V47" s="40"/>
      <c r="W47" s="15"/>
      <c r="X47" s="40"/>
      <c r="Y47" s="15"/>
      <c r="Z47" s="40"/>
    </row>
    <row r="48" spans="1:61" ht="14.5" customHeight="1">
      <c r="A48" s="19" t="s">
        <v>29</v>
      </c>
      <c r="B48" s="41">
        <v>21063.77</v>
      </c>
      <c r="C48" s="21"/>
      <c r="D48" s="41">
        <v>20937.23</v>
      </c>
      <c r="E48" s="22"/>
      <c r="F48" s="41">
        <v>20937.23</v>
      </c>
      <c r="G48" s="23"/>
      <c r="H48" s="41">
        <v>20937.23</v>
      </c>
      <c r="I48" s="22"/>
      <c r="J48" s="41">
        <v>20804.099999999999</v>
      </c>
      <c r="K48" s="24"/>
      <c r="L48" s="41">
        <v>25154.13</v>
      </c>
      <c r="M48" s="22"/>
      <c r="N48" s="41">
        <v>25154.13</v>
      </c>
      <c r="O48" s="22"/>
      <c r="P48" s="41">
        <v>25021.72</v>
      </c>
      <c r="Q48" s="22"/>
      <c r="R48" s="41"/>
      <c r="S48" s="22"/>
      <c r="T48" s="41"/>
      <c r="U48" s="22"/>
      <c r="V48" s="41"/>
      <c r="W48" s="22"/>
      <c r="X48" s="41"/>
      <c r="Y48" s="22"/>
      <c r="Z48" s="41"/>
    </row>
    <row r="49" spans="1:61" ht="21" customHeight="1">
      <c r="A49" s="42" t="s">
        <v>47</v>
      </c>
      <c r="B49" s="43">
        <f>SUM(B45:B48)</f>
        <v>237326.36</v>
      </c>
      <c r="C49" s="58">
        <f>(D49-B49)/B49</f>
        <v>2.672817296822891E-3</v>
      </c>
      <c r="D49" s="43">
        <f>SUM(D45:D48)</f>
        <v>237960.69</v>
      </c>
      <c r="E49" s="59">
        <f>(F49-D49)/D49</f>
        <v>3.197460891544714E-3</v>
      </c>
      <c r="F49" s="43">
        <f>SUM(F45:F48)</f>
        <v>238721.56</v>
      </c>
      <c r="G49" s="60">
        <f>(H49-F49)/F49</f>
        <v>2.7043221399860838E-3</v>
      </c>
      <c r="H49" s="43">
        <f>SUM(H45:H48)</f>
        <v>239367.14</v>
      </c>
      <c r="I49" s="59">
        <f>(J49-H49)/H49</f>
        <v>2.526203053602104E-3</v>
      </c>
      <c r="J49" s="43">
        <f>SUM(J45:J48)</f>
        <v>239971.83000000002</v>
      </c>
      <c r="K49" s="61">
        <f>(L49-J49)/J49</f>
        <v>2.4451620008898107E-3</v>
      </c>
      <c r="L49" s="43">
        <f>SUM(L45:L48)</f>
        <v>240558.6</v>
      </c>
      <c r="M49" s="59">
        <f>(N49-L49)/L49</f>
        <v>2.649416815694789E-3</v>
      </c>
      <c r="N49" s="43">
        <f>SUM(N45:N48)</f>
        <v>241195.94</v>
      </c>
      <c r="O49" s="59">
        <f>(P49-N49)/N49</f>
        <v>2.4606550176590864E-3</v>
      </c>
      <c r="P49" s="43">
        <f>SUM(P45:P48)</f>
        <v>241789.44</v>
      </c>
      <c r="Q49" s="59">
        <f>(R49-P49)/P49</f>
        <v>-1</v>
      </c>
      <c r="R49" s="43">
        <f>SUM(R45:R48)</f>
        <v>0</v>
      </c>
      <c r="S49" s="59" t="e">
        <f>(T49-R49)/R49</f>
        <v>#DIV/0!</v>
      </c>
      <c r="T49" s="43">
        <f>SUM(T45:T48)</f>
        <v>0</v>
      </c>
      <c r="U49" s="59" t="e">
        <f>(V49-T49)/T49</f>
        <v>#DIV/0!</v>
      </c>
      <c r="V49" s="43">
        <f>SUM(V45:V48)</f>
        <v>0</v>
      </c>
      <c r="W49" s="59" t="e">
        <f>(X49-V49)/V49</f>
        <v>#DIV/0!</v>
      </c>
      <c r="X49" s="43">
        <f>SUM(X45:X48)</f>
        <v>0</v>
      </c>
      <c r="Y49" s="59" t="e">
        <f>(Z49-X49)/X49</f>
        <v>#DIV/0!</v>
      </c>
      <c r="Z49" s="43">
        <f>SUM(Z45:Z48)</f>
        <v>0</v>
      </c>
      <c r="AA49" s="62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</row>
    <row r="50" spans="1:61" ht="13">
      <c r="A50" s="32"/>
      <c r="B50" s="33"/>
      <c r="C50" s="34"/>
      <c r="D50" s="33"/>
      <c r="E50" s="34"/>
      <c r="F50" s="33"/>
      <c r="G50" s="35"/>
      <c r="H50" s="33"/>
      <c r="I50" s="34"/>
      <c r="J50" s="33"/>
      <c r="K50" s="37"/>
      <c r="L50" s="33"/>
      <c r="M50" s="34"/>
      <c r="N50" s="33"/>
      <c r="O50" s="34"/>
      <c r="P50" s="33"/>
      <c r="Q50" s="34"/>
      <c r="R50" s="33"/>
      <c r="S50" s="34"/>
      <c r="T50" s="33"/>
      <c r="U50" s="34"/>
      <c r="V50" s="33"/>
      <c r="W50" s="34"/>
      <c r="X50" s="33"/>
      <c r="Y50" s="34"/>
      <c r="Z50" s="33"/>
      <c r="AA50" s="38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</row>
    <row r="51" spans="1:61" ht="25.25" customHeight="1">
      <c r="A51" s="1" t="s">
        <v>0</v>
      </c>
      <c r="B51" s="2" t="s">
        <v>1</v>
      </c>
      <c r="C51" s="3" t="s">
        <v>2</v>
      </c>
      <c r="D51" s="1" t="s">
        <v>3</v>
      </c>
      <c r="E51" s="3" t="s">
        <v>4</v>
      </c>
      <c r="F51" s="1" t="s">
        <v>5</v>
      </c>
      <c r="G51" s="4" t="s">
        <v>6</v>
      </c>
      <c r="H51" s="1" t="s">
        <v>7</v>
      </c>
      <c r="I51" s="3" t="s">
        <v>8</v>
      </c>
      <c r="J51" s="1" t="s">
        <v>9</v>
      </c>
      <c r="K51" s="5" t="s">
        <v>10</v>
      </c>
      <c r="L51" s="1" t="s">
        <v>11</v>
      </c>
      <c r="M51" s="3" t="s">
        <v>12</v>
      </c>
      <c r="N51" s="1" t="s">
        <v>13</v>
      </c>
      <c r="O51" s="3" t="s">
        <v>14</v>
      </c>
      <c r="P51" s="1" t="s">
        <v>15</v>
      </c>
      <c r="Q51" s="3" t="s">
        <v>16</v>
      </c>
      <c r="R51" s="1" t="s">
        <v>17</v>
      </c>
      <c r="S51" s="3" t="s">
        <v>18</v>
      </c>
      <c r="T51" s="1" t="s">
        <v>19</v>
      </c>
      <c r="U51" s="3" t="s">
        <v>20</v>
      </c>
      <c r="V51" s="1" t="s">
        <v>21</v>
      </c>
      <c r="W51" s="3" t="s">
        <v>22</v>
      </c>
      <c r="X51" s="1" t="s">
        <v>23</v>
      </c>
      <c r="Y51" s="3" t="s">
        <v>24</v>
      </c>
      <c r="Z51" s="1" t="s">
        <v>25</v>
      </c>
    </row>
    <row r="52" spans="1:61" ht="28" customHeight="1">
      <c r="A52" s="12"/>
      <c r="B52" s="40"/>
      <c r="C52" s="14" t="e">
        <f>(D52-B52)/B52</f>
        <v>#DIV/0!</v>
      </c>
      <c r="D52" s="40"/>
      <c r="E52" s="15" t="e">
        <f>(F52-D52)/D52</f>
        <v>#DIV/0!</v>
      </c>
      <c r="F52" s="40"/>
      <c r="G52" s="16" t="e">
        <f>(H52-F52)/F52</f>
        <v>#DIV/0!</v>
      </c>
      <c r="H52" s="40"/>
      <c r="I52" s="15" t="e">
        <f>(J52-H52)/H52</f>
        <v>#DIV/0!</v>
      </c>
      <c r="J52" s="40"/>
      <c r="K52" s="17"/>
      <c r="L52" s="40"/>
      <c r="M52" s="15"/>
      <c r="N52" s="40"/>
      <c r="O52" s="15"/>
      <c r="P52" s="40"/>
      <c r="Q52" s="15"/>
      <c r="R52" s="40"/>
      <c r="S52" s="15"/>
      <c r="T52" s="40"/>
      <c r="U52" s="15"/>
      <c r="V52" s="40"/>
      <c r="W52" s="15"/>
      <c r="X52" s="40"/>
      <c r="Y52" s="15"/>
      <c r="Z52" s="40"/>
    </row>
    <row r="53" spans="1:61" ht="14.5" customHeight="1">
      <c r="A53" s="19" t="s">
        <v>29</v>
      </c>
      <c r="B53" s="41">
        <v>4549.9399999999996</v>
      </c>
      <c r="C53" s="21"/>
      <c r="D53" s="41">
        <v>3275.63</v>
      </c>
      <c r="E53" s="22"/>
      <c r="F53" s="41">
        <v>4013.92</v>
      </c>
      <c r="G53" s="23"/>
      <c r="H53" s="41">
        <v>4556.05</v>
      </c>
      <c r="I53" s="22"/>
      <c r="J53" s="41">
        <v>4679.01</v>
      </c>
      <c r="K53" s="24"/>
      <c r="L53" s="41">
        <v>4602.54</v>
      </c>
      <c r="M53" s="22"/>
      <c r="N53" s="41">
        <v>2932.71</v>
      </c>
      <c r="O53" s="22"/>
      <c r="P53" s="41">
        <v>4001.83</v>
      </c>
      <c r="Q53" s="22"/>
      <c r="R53" s="41"/>
      <c r="S53" s="22"/>
      <c r="T53" s="41"/>
      <c r="U53" s="22"/>
      <c r="V53" s="41"/>
      <c r="W53" s="22"/>
      <c r="X53" s="41"/>
      <c r="Y53" s="22"/>
      <c r="Z53" s="41"/>
    </row>
    <row r="54" spans="1:61" ht="21" customHeight="1">
      <c r="A54" s="42" t="s">
        <v>48</v>
      </c>
      <c r="B54" s="43">
        <f>SUM(B52:B53)</f>
        <v>4549.9399999999996</v>
      </c>
      <c r="C54" s="58">
        <f>(D54-B54)/B54</f>
        <v>-0.28007182512296858</v>
      </c>
      <c r="D54" s="43">
        <f>SUM(D52:D53)</f>
        <v>3275.63</v>
      </c>
      <c r="E54" s="59">
        <f>(F54-D54)/D54</f>
        <v>0.22538870385238868</v>
      </c>
      <c r="F54" s="43">
        <f>SUM(F52:F53)</f>
        <v>4013.92</v>
      </c>
      <c r="G54" s="60">
        <f>(H54-F54)/F54</f>
        <v>0.13506248256068884</v>
      </c>
      <c r="H54" s="43">
        <f>SUM(H52:H53)</f>
        <v>4556.05</v>
      </c>
      <c r="I54" s="59">
        <f>(J54-H54)/H54</f>
        <v>2.6988290295321612E-2</v>
      </c>
      <c r="J54" s="43">
        <f>SUM(J52:J53)</f>
        <v>4679.01</v>
      </c>
      <c r="K54" s="61">
        <f>(L54-J54)/J54</f>
        <v>-1.6343200805298611E-2</v>
      </c>
      <c r="L54" s="43">
        <f>SUM(L52:L53)</f>
        <v>4602.54</v>
      </c>
      <c r="M54" s="59">
        <f>(N54-L54)/L54</f>
        <v>-0.36280618962572841</v>
      </c>
      <c r="N54" s="43">
        <f>SUM(N52:N53)</f>
        <v>2932.71</v>
      </c>
      <c r="O54" s="59">
        <f>(P54-N54)/N54</f>
        <v>0.36455019418899237</v>
      </c>
      <c r="P54" s="43">
        <f>SUM(P52:P53)</f>
        <v>4001.83</v>
      </c>
      <c r="Q54" s="59">
        <f>(R54-P54)/P54</f>
        <v>-1</v>
      </c>
      <c r="R54" s="43">
        <f>SUM(R52:R53)</f>
        <v>0</v>
      </c>
      <c r="S54" s="59" t="e">
        <f>(T54-R54)/R54</f>
        <v>#DIV/0!</v>
      </c>
      <c r="T54" s="43">
        <f>SUM(T52:T53)</f>
        <v>0</v>
      </c>
      <c r="U54" s="59" t="e">
        <f>(V54-T54)/T54</f>
        <v>#DIV/0!</v>
      </c>
      <c r="V54" s="43">
        <f>SUM(V52:V53)</f>
        <v>0</v>
      </c>
      <c r="W54" s="59" t="e">
        <f>(X54-V54)/V54</f>
        <v>#DIV/0!</v>
      </c>
      <c r="X54" s="43">
        <f>SUM(X52:X53)</f>
        <v>0</v>
      </c>
      <c r="Y54" s="59" t="e">
        <f>(Z54-X54)/X54</f>
        <v>#DIV/0!</v>
      </c>
      <c r="Z54" s="43">
        <f>SUM(Z52:Z53)</f>
        <v>0</v>
      </c>
      <c r="AA54" s="62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</row>
    <row r="55" spans="1:61" ht="13">
      <c r="A55" s="32"/>
      <c r="B55" s="33"/>
      <c r="C55" s="34"/>
      <c r="D55" s="33"/>
      <c r="E55" s="34"/>
      <c r="F55" s="33"/>
      <c r="G55" s="35"/>
      <c r="H55" s="33"/>
      <c r="I55" s="34"/>
      <c r="J55" s="33"/>
      <c r="K55" s="37"/>
      <c r="L55" s="33"/>
      <c r="M55" s="34"/>
      <c r="N55" s="33"/>
      <c r="O55" s="34"/>
      <c r="P55" s="33"/>
      <c r="Q55" s="34"/>
      <c r="R55" s="33"/>
      <c r="S55" s="34"/>
      <c r="T55" s="33"/>
      <c r="U55" s="34"/>
      <c r="V55" s="33"/>
      <c r="W55" s="34"/>
      <c r="X55" s="33"/>
      <c r="Y55" s="34"/>
      <c r="Z55" s="33"/>
      <c r="AA55" s="38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</row>
    <row r="56" spans="1:61" ht="13">
      <c r="A56" s="32"/>
      <c r="B56" s="33"/>
      <c r="C56" s="34"/>
      <c r="D56" s="33"/>
      <c r="E56" s="34"/>
      <c r="F56" s="33"/>
      <c r="G56" s="35"/>
      <c r="H56" s="33"/>
      <c r="I56" s="34"/>
      <c r="J56" s="33"/>
      <c r="K56" s="37"/>
      <c r="L56" s="33"/>
      <c r="M56" s="34"/>
      <c r="N56" s="33"/>
      <c r="O56" s="34"/>
      <c r="P56" s="33"/>
      <c r="Q56" s="34"/>
      <c r="R56" s="33"/>
      <c r="S56" s="34"/>
      <c r="T56" s="33"/>
      <c r="U56" s="34"/>
      <c r="V56" s="33"/>
      <c r="W56" s="34"/>
      <c r="X56" s="33"/>
      <c r="Y56" s="34"/>
      <c r="Z56" s="33"/>
      <c r="AA56" s="38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</row>
    <row r="57" spans="1:61" ht="33" customHeight="1">
      <c r="A57" s="64" t="s">
        <v>49</v>
      </c>
      <c r="B57" s="65">
        <f>B34+B42+B54+B49</f>
        <v>7045901.6700000009</v>
      </c>
      <c r="C57" s="14">
        <f>(D57-B57)/B57</f>
        <v>1.1810298226883891E-3</v>
      </c>
      <c r="D57" s="65">
        <f>D34+D42+D54+D49</f>
        <v>7054223.0900000008</v>
      </c>
      <c r="E57" s="15">
        <f>(F57-D57)/D57</f>
        <v>1.1860724977440189E-2</v>
      </c>
      <c r="F57" s="65">
        <f>F34+F42+F54+F49</f>
        <v>7137891.2899999991</v>
      </c>
      <c r="G57" s="16">
        <f>(H57-F57)/F57</f>
        <v>1.4122347329837279E-2</v>
      </c>
      <c r="H57" s="65">
        <f>H34+H42+H54+H49</f>
        <v>7238695.0699999994</v>
      </c>
      <c r="I57" s="15">
        <f>(J57-H57)/H57</f>
        <v>2.9230254618253545E-3</v>
      </c>
      <c r="J57" s="65">
        <f>J34+J42+J54+J49</f>
        <v>7259853.959999999</v>
      </c>
      <c r="K57" s="17">
        <f>(L57-J57)/J57</f>
        <v>-0.26311225963008206</v>
      </c>
      <c r="L57" s="65">
        <f>L34+L42+L54+L49</f>
        <v>5349697.38</v>
      </c>
      <c r="M57" s="15">
        <f>(N57-L57)/L57</f>
        <v>-0.10109612405776866</v>
      </c>
      <c r="N57" s="65">
        <f>N34+N42+N54+N49</f>
        <v>4808863.71</v>
      </c>
      <c r="O57" s="15">
        <f>(P57-N57)/N57</f>
        <v>-5.8008108946801459E-2</v>
      </c>
      <c r="P57" s="65">
        <f>P34+P42+P54+P49</f>
        <v>4529910.62</v>
      </c>
      <c r="Q57" s="15">
        <f>(R57-P57)/P57</f>
        <v>-1</v>
      </c>
      <c r="R57" s="65">
        <f>R34+R42+R54+R49</f>
        <v>0</v>
      </c>
      <c r="S57" s="15" t="e">
        <f>(T57-R57)/R57</f>
        <v>#DIV/0!</v>
      </c>
      <c r="T57" s="65">
        <f>T34+T42+T54+T49</f>
        <v>0</v>
      </c>
      <c r="U57" s="15" t="e">
        <f>(V57-T57)/T57</f>
        <v>#DIV/0!</v>
      </c>
      <c r="V57" s="65">
        <f>V34+V42+V54+V49</f>
        <v>0</v>
      </c>
      <c r="W57" s="15" t="e">
        <f>(X57-V57)/V57</f>
        <v>#DIV/0!</v>
      </c>
      <c r="X57" s="65">
        <f>X34+X42+X54+X49</f>
        <v>0</v>
      </c>
      <c r="Y57" s="15" t="e">
        <f>(Z57-X57)/X57</f>
        <v>#DIV/0!</v>
      </c>
      <c r="Z57" s="65">
        <f>Z34+Z42+Z54+Z49</f>
        <v>0</v>
      </c>
    </row>
    <row r="58" spans="1:61" ht="13"/>
    <row r="59" spans="1:61" ht="13">
      <c r="G59" s="36"/>
    </row>
    <row r="60" spans="1:61" ht="14">
      <c r="A60" s="1" t="s">
        <v>50</v>
      </c>
      <c r="B60" s="71" t="s">
        <v>51</v>
      </c>
      <c r="C60" s="72"/>
      <c r="D60" s="73" t="s">
        <v>52</v>
      </c>
      <c r="F60" s="74" t="s">
        <v>53</v>
      </c>
      <c r="G60" s="36"/>
      <c r="P60" s="75"/>
    </row>
    <row r="61" spans="1:61" ht="28">
      <c r="A61" s="76" t="s">
        <v>54</v>
      </c>
      <c r="B61" s="84">
        <v>179574.03</v>
      </c>
      <c r="C61" s="84"/>
      <c r="D61" s="77">
        <v>181637.75</v>
      </c>
      <c r="E61" s="78">
        <f>((D61-(B61))/(B61))</f>
        <v>1.1492307657181839E-2</v>
      </c>
      <c r="F61" s="79" t="s">
        <v>55</v>
      </c>
      <c r="G61" s="36"/>
    </row>
    <row r="62" spans="1:61" ht="14">
      <c r="A62" s="80" t="s">
        <v>56</v>
      </c>
      <c r="B62" s="81">
        <f>SUM(B61:B61)</f>
        <v>179574.03</v>
      </c>
      <c r="C62" s="82"/>
      <c r="D62" s="81">
        <f>SUM(D61:D61)</f>
        <v>181637.75</v>
      </c>
      <c r="F62" s="68"/>
      <c r="G62" s="36"/>
    </row>
    <row r="63" spans="1:61" ht="13">
      <c r="A63" s="83"/>
    </row>
    <row r="64" spans="1:61" ht="13">
      <c r="A64" s="83"/>
    </row>
  </sheetData>
  <mergeCells count="1">
    <mergeCell ref="B61:C61"/>
  </mergeCells>
  <conditionalFormatting sqref="E1:E33 G1:G33 I1:I33 K1:K33 M1:M33 O1:O33 Q1:Q33 S1:S33 U1:U33 W1:W33 Y1:Y33 E35:E58 G35:G58 I35:I58 K35:K58 M35:M58 O35:O58 Q35:Q58 S35:S58 U35:U58 W35:W58 Y35:Y58 E63:E1048576 G63:G1048576 I61:I1048576 K61:K1048576 M61:M1048576 O61:O1048576 Q61:Q1048576 S61:S1048576 U61:U1048576 W61:W1048576 Y61:Y1048576">
    <cfRule type="cellIs" dxfId="2" priority="3" stopIfTrue="1" operator="equal">
      <formula>#DIV/0!</formula>
    </cfRule>
  </conditionalFormatting>
  <pageMargins left="0" right="0" top="0.39370078740157477" bottom="0.39370078740157477" header="0" footer="0"/>
  <pageSetup paperSize="0" fitToWidth="0" fitToHeight="0" orientation="portrait" horizontalDpi="0" verticalDpi="0"/>
  <headerFooter>
    <oddHeader>&amp;C&amp;A</oddHeader>
    <oddFooter>&amp;CPágina &amp;P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E40B-FD46-1C44-95BC-75235325556A}">
  <dimension ref="A1:BI64"/>
  <sheetViews>
    <sheetView workbookViewId="0"/>
  </sheetViews>
  <sheetFormatPr baseColWidth="10" defaultColWidth="13.796875" defaultRowHeight="12.5"/>
  <cols>
    <col min="1" max="1" width="36.796875" style="66" customWidth="1"/>
    <col min="2" max="2" width="22.19921875" style="67" customWidth="1"/>
    <col min="3" max="3" width="15" style="68" customWidth="1"/>
    <col min="4" max="4" width="23.19921875" style="36" customWidth="1"/>
    <col min="5" max="5" width="16.3984375" style="68" customWidth="1"/>
    <col min="6" max="6" width="23.3984375" style="36" customWidth="1"/>
    <col min="7" max="7" width="13.19921875" style="69" customWidth="1"/>
    <col min="8" max="8" width="22.59765625" style="36" customWidth="1"/>
    <col min="9" max="9" width="15.796875" style="68" customWidth="1"/>
    <col min="10" max="10" width="20" style="36" customWidth="1"/>
    <col min="11" max="11" width="18.3984375" style="70" customWidth="1"/>
    <col min="12" max="12" width="20" style="36" customWidth="1"/>
    <col min="13" max="13" width="14.796875" style="68" customWidth="1"/>
    <col min="14" max="14" width="20" style="36" customWidth="1"/>
    <col min="15" max="15" width="16.19921875" style="68" customWidth="1"/>
    <col min="16" max="16" width="20.796875" style="36" customWidth="1"/>
    <col min="17" max="17" width="15.59765625" style="68" customWidth="1"/>
    <col min="18" max="18" width="21.59765625" style="36" customWidth="1"/>
    <col min="19" max="19" width="14.796875" style="68" customWidth="1"/>
    <col min="20" max="20" width="21.3984375" style="36" customWidth="1"/>
    <col min="21" max="21" width="15.3984375" style="68" customWidth="1"/>
    <col min="22" max="22" width="24.19921875" style="36" customWidth="1"/>
    <col min="23" max="23" width="14.59765625" style="68" customWidth="1"/>
    <col min="24" max="24" width="22.3984375" style="36" customWidth="1"/>
    <col min="25" max="25" width="15.19921875" style="68" customWidth="1"/>
    <col min="26" max="26" width="23.3984375" style="36" customWidth="1"/>
    <col min="27" max="27" width="19.59765625" style="6" customWidth="1"/>
    <col min="28" max="61" width="17" customWidth="1"/>
    <col min="62" max="62" width="13.796875" customWidth="1"/>
  </cols>
  <sheetData>
    <row r="1" spans="1:26" ht="25.2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3" t="s">
        <v>8</v>
      </c>
      <c r="J1" s="1" t="s">
        <v>9</v>
      </c>
      <c r="K1" s="5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3" t="s">
        <v>20</v>
      </c>
      <c r="V1" s="1" t="s">
        <v>21</v>
      </c>
      <c r="W1" s="3" t="s">
        <v>22</v>
      </c>
      <c r="X1" s="1" t="s">
        <v>23</v>
      </c>
      <c r="Y1" s="3" t="s">
        <v>24</v>
      </c>
      <c r="Z1" s="1" t="s">
        <v>25</v>
      </c>
    </row>
    <row r="2" spans="1:26" ht="11.25" customHeight="1">
      <c r="A2" s="7"/>
      <c r="B2" s="8"/>
      <c r="C2" s="8"/>
      <c r="D2" s="9"/>
      <c r="E2" s="8"/>
      <c r="F2" s="9"/>
      <c r="G2" s="10"/>
      <c r="H2" s="9"/>
      <c r="I2" s="8"/>
      <c r="J2" s="9"/>
      <c r="K2" s="11"/>
      <c r="L2" s="9"/>
      <c r="M2" s="8"/>
      <c r="N2" s="9"/>
      <c r="O2" s="8"/>
      <c r="P2" s="9"/>
      <c r="Q2" s="8"/>
      <c r="R2" s="9"/>
      <c r="S2" s="8"/>
      <c r="T2" s="9"/>
      <c r="U2" s="8"/>
      <c r="V2" s="9"/>
      <c r="W2" s="8"/>
      <c r="X2" s="9"/>
      <c r="Y2" s="8"/>
      <c r="Z2" s="9"/>
    </row>
    <row r="3" spans="1:26" ht="28" customHeight="1">
      <c r="A3" s="12"/>
      <c r="B3" s="13"/>
      <c r="C3" s="14" t="e">
        <f>(D3-B3)/B3</f>
        <v>#DIV/0!</v>
      </c>
      <c r="D3" s="13"/>
      <c r="E3" s="15" t="e">
        <f>(F3-D3)/D3</f>
        <v>#DIV/0!</v>
      </c>
      <c r="F3" s="13"/>
      <c r="G3" s="16" t="e">
        <f>(H3-F3)/F3</f>
        <v>#DIV/0!</v>
      </c>
      <c r="H3" s="13"/>
      <c r="I3" s="15" t="e">
        <f>(J3-H3)/H3</f>
        <v>#DIV/0!</v>
      </c>
      <c r="J3" s="13"/>
      <c r="K3" s="17" t="e">
        <f>(L3-J3)/J3</f>
        <v>#DIV/0!</v>
      </c>
      <c r="L3" s="13"/>
      <c r="M3" s="15" t="e">
        <f>(N3-L3)/L3</f>
        <v>#DIV/0!</v>
      </c>
      <c r="N3" s="13"/>
      <c r="O3" s="15" t="e">
        <f>(P3-N3)/N3</f>
        <v>#DIV/0!</v>
      </c>
      <c r="P3" s="13"/>
      <c r="Q3" s="15" t="e">
        <f>(R3-P3)/P3</f>
        <v>#DIV/0!</v>
      </c>
      <c r="R3" s="18"/>
      <c r="S3" s="15" t="e">
        <f>(T3-R3)/R3</f>
        <v>#DIV/0!</v>
      </c>
      <c r="T3" s="18"/>
      <c r="U3" s="15" t="e">
        <f>(V3-T3)/T3</f>
        <v>#DIV/0!</v>
      </c>
      <c r="V3" s="13"/>
      <c r="W3" s="15" t="e">
        <f>(X3-V3)/V3</f>
        <v>#DIV/0!</v>
      </c>
      <c r="X3" s="18"/>
      <c r="Y3" s="15" t="e">
        <f>(Z3-X3)/X3</f>
        <v>#DIV/0!</v>
      </c>
      <c r="Z3" s="13"/>
    </row>
    <row r="4" spans="1:26" ht="28" customHeight="1">
      <c r="A4" s="12" t="s">
        <v>26</v>
      </c>
      <c r="B4" s="13"/>
      <c r="C4" s="14" t="e">
        <f>(D4-B4)/B4</f>
        <v>#DIV/0!</v>
      </c>
      <c r="D4" s="13">
        <v>70642.98</v>
      </c>
      <c r="E4" s="15">
        <f>(F4-D4)/D4</f>
        <v>9.9363022341357569E-3</v>
      </c>
      <c r="F4" s="13">
        <v>71344.91</v>
      </c>
      <c r="G4" s="16">
        <f>(H4-F4)/F4</f>
        <v>1.472845084533715E-2</v>
      </c>
      <c r="H4" s="13">
        <v>72395.710000000006</v>
      </c>
      <c r="I4" s="15">
        <f>(J4-H4)/H4</f>
        <v>1.5173827288937278E-2</v>
      </c>
      <c r="J4" s="13">
        <v>73494.23</v>
      </c>
      <c r="K4" s="17">
        <f>(L4-J4)/J4</f>
        <v>1.1409603175650771E-2</v>
      </c>
      <c r="L4" s="13">
        <v>74332.77</v>
      </c>
      <c r="M4" s="17">
        <f>(N4-L4)/L4</f>
        <v>8.6438323232134288E-3</v>
      </c>
      <c r="N4" s="13">
        <v>74975.289999999994</v>
      </c>
      <c r="O4" s="17">
        <f>(P4-N4)/N4</f>
        <v>9.5183359744257009E-3</v>
      </c>
      <c r="P4" s="13">
        <v>75688.929999999993</v>
      </c>
      <c r="Q4" s="17">
        <f>(R4-P4)/P4</f>
        <v>9.9733210655773563E-3</v>
      </c>
      <c r="R4" s="18">
        <v>76443.8</v>
      </c>
      <c r="S4" s="17">
        <f>(T4-R4)/R4</f>
        <v>6.8851888576967881E-3</v>
      </c>
      <c r="T4" s="18">
        <v>76970.13</v>
      </c>
      <c r="U4" s="17">
        <f>(V4-T4)/T4</f>
        <v>9.6161978679260244E-3</v>
      </c>
      <c r="V4" s="13">
        <v>77710.289999999994</v>
      </c>
      <c r="W4" s="15">
        <f>(X4-V4)/V4</f>
        <v>8.7828780461378306E-3</v>
      </c>
      <c r="X4" s="18">
        <v>78392.81</v>
      </c>
      <c r="Y4" s="15">
        <f>(Z4-X4)/X4</f>
        <v>7.4011889610794291E-3</v>
      </c>
      <c r="Z4" s="13">
        <v>78973.009999999995</v>
      </c>
    </row>
    <row r="5" spans="1:26" ht="28" customHeight="1">
      <c r="A5" s="12" t="s">
        <v>27</v>
      </c>
      <c r="B5" s="13">
        <v>82769.679999999993</v>
      </c>
      <c r="C5" s="14">
        <f>(D5-B5)/B5</f>
        <v>1.2084618425491137E-2</v>
      </c>
      <c r="D5" s="13">
        <v>83769.919999999998</v>
      </c>
      <c r="E5" s="15">
        <f>(F5-D5)/D5</f>
        <v>1.2983180597522426E-2</v>
      </c>
      <c r="F5" s="13">
        <v>84857.52</v>
      </c>
      <c r="G5" s="16">
        <f>(H5-F5)/F5</f>
        <v>1.0899328662916373E-2</v>
      </c>
      <c r="H5" s="13">
        <v>85782.41</v>
      </c>
      <c r="I5" s="15">
        <f>(J5-H5)/H5</f>
        <v>1.3321612204646555E-2</v>
      </c>
      <c r="J5" s="13">
        <v>86925.17</v>
      </c>
      <c r="K5" s="17">
        <f>(L5-J5)/J5</f>
        <v>1.3658989680434306E-2</v>
      </c>
      <c r="L5" s="13">
        <v>88112.48</v>
      </c>
      <c r="M5" s="15">
        <f>(N5-L5)/L5</f>
        <v>1.2497889061799205E-2</v>
      </c>
      <c r="N5" s="13">
        <v>89213.7</v>
      </c>
      <c r="O5" s="15">
        <f>(P5-N5)/N5</f>
        <v>1.4656157070046404E-2</v>
      </c>
      <c r="P5" s="13">
        <v>90521.23</v>
      </c>
      <c r="Q5" s="15">
        <f>(R5-P5)/P5</f>
        <v>-0.11351436563555303</v>
      </c>
      <c r="R5" s="18">
        <v>80245.77</v>
      </c>
      <c r="S5" s="15">
        <f>(T5-R5)/R5</f>
        <v>1.1310751956146715E-2</v>
      </c>
      <c r="T5" s="18">
        <v>81153.41</v>
      </c>
      <c r="U5" s="15">
        <f>(V5-T5)/T5</f>
        <v>1.079387791591249E-2</v>
      </c>
      <c r="V5" s="13">
        <v>82029.37</v>
      </c>
      <c r="W5" s="15">
        <f>(X5-V5)/V5</f>
        <v>1.0793938805088938E-2</v>
      </c>
      <c r="X5" s="18">
        <v>82914.789999999994</v>
      </c>
      <c r="Y5" s="15">
        <f>(Z5-X5)/X5</f>
        <v>9.7609847410818004E-3</v>
      </c>
      <c r="Z5" s="13">
        <v>83724.12</v>
      </c>
    </row>
    <row r="6" spans="1:26" ht="28" customHeight="1">
      <c r="A6" s="12" t="s">
        <v>28</v>
      </c>
      <c r="B6" s="13">
        <v>82769.679999999993</v>
      </c>
      <c r="C6" s="14">
        <f>(D6-B6)/B6</f>
        <v>0.18666775079956827</v>
      </c>
      <c r="D6" s="13">
        <v>98220.11</v>
      </c>
      <c r="E6" s="15">
        <f>(F6-D6)/D6</f>
        <v>1.0623079123002348E-2</v>
      </c>
      <c r="F6" s="13">
        <v>99263.51</v>
      </c>
      <c r="G6" s="16">
        <f>(H6-F6)/F6</f>
        <v>1.5787876128901784E-2</v>
      </c>
      <c r="H6" s="13">
        <v>100830.67</v>
      </c>
      <c r="I6" s="15">
        <f>(J6-H6)/H6</f>
        <v>1.1019167084776953E-2</v>
      </c>
      <c r="J6" s="13">
        <v>101941.74</v>
      </c>
      <c r="K6" s="17">
        <f>(L6-J6)/J6</f>
        <v>9.773327392685249E-3</v>
      </c>
      <c r="L6" s="13">
        <v>102938.05</v>
      </c>
      <c r="M6" s="15">
        <f>(N6-L6)/L6</f>
        <v>6.8646142024255371E-3</v>
      </c>
      <c r="N6" s="13">
        <v>103644.68</v>
      </c>
      <c r="O6" s="15">
        <f>(P6-N6)/N6</f>
        <v>8.8536140977038547E-3</v>
      </c>
      <c r="P6" s="13">
        <v>104562.31</v>
      </c>
      <c r="Q6" s="15">
        <f>(R6-P6)/P6</f>
        <v>7.4041019177943021E-3</v>
      </c>
      <c r="R6" s="18">
        <v>105336.5</v>
      </c>
      <c r="S6" s="15">
        <f>(T6-R6)/R6</f>
        <v>6.6562872318711381E-3</v>
      </c>
      <c r="T6" s="18">
        <v>106037.65</v>
      </c>
      <c r="U6" s="15">
        <f>(V6-T6)/T6</f>
        <v>9.2608615901993308E-3</v>
      </c>
      <c r="V6" s="13">
        <v>107019.65</v>
      </c>
      <c r="W6" s="15">
        <f>(X6-V6)/V6</f>
        <v>6.5716903391106491E-3</v>
      </c>
      <c r="X6" s="13">
        <v>107722.95</v>
      </c>
      <c r="Y6" s="15">
        <f>(Z6-X6)/X6</f>
        <v>6.8624188253292844E-3</v>
      </c>
      <c r="Z6" s="13">
        <v>108462.19</v>
      </c>
    </row>
    <row r="7" spans="1:26" ht="28" customHeight="1">
      <c r="A7" s="12"/>
      <c r="B7" s="13"/>
      <c r="C7" s="14" t="e">
        <f>(D7-B7)/B7</f>
        <v>#DIV/0!</v>
      </c>
      <c r="D7" s="13"/>
      <c r="E7" s="15" t="e">
        <f>(F7-D7)/D7</f>
        <v>#DIV/0!</v>
      </c>
      <c r="F7" s="13"/>
      <c r="G7" s="16" t="e">
        <f>(H7-F7)/F7</f>
        <v>#DIV/0!</v>
      </c>
      <c r="H7" s="13"/>
      <c r="I7" s="15" t="e">
        <f>(J7-H7)/H7</f>
        <v>#DIV/0!</v>
      </c>
      <c r="J7" s="13"/>
      <c r="K7" s="17"/>
      <c r="L7" s="13"/>
      <c r="M7" s="15"/>
      <c r="N7" s="13"/>
      <c r="O7" s="15"/>
      <c r="P7" s="13"/>
      <c r="Q7" s="15"/>
      <c r="R7" s="18"/>
      <c r="S7" s="15"/>
      <c r="T7" s="18"/>
      <c r="U7" s="15"/>
      <c r="V7" s="13"/>
      <c r="W7" s="15"/>
      <c r="X7" s="13"/>
      <c r="Y7" s="15"/>
      <c r="Z7" s="13"/>
    </row>
    <row r="8" spans="1:26" ht="18" customHeight="1">
      <c r="A8" s="19" t="s">
        <v>29</v>
      </c>
      <c r="B8" s="20">
        <v>51681.7</v>
      </c>
      <c r="C8" s="21"/>
      <c r="D8" s="20">
        <v>24085.97</v>
      </c>
      <c r="E8" s="22"/>
      <c r="F8" s="20">
        <v>29641.71</v>
      </c>
      <c r="G8" s="23"/>
      <c r="H8" s="20">
        <v>8113.88</v>
      </c>
      <c r="I8" s="22"/>
      <c r="J8" s="20">
        <v>69304.84</v>
      </c>
      <c r="K8" s="24"/>
      <c r="L8" s="20">
        <v>71815.789999999994</v>
      </c>
      <c r="M8" s="22"/>
      <c r="N8" s="20">
        <v>100497.60000000001</v>
      </c>
      <c r="O8" s="22"/>
      <c r="P8" s="20">
        <v>112642.07</v>
      </c>
      <c r="Q8" s="22"/>
      <c r="R8" s="25">
        <v>92228.479999999996</v>
      </c>
      <c r="S8" s="22"/>
      <c r="T8" s="25">
        <v>97770.94</v>
      </c>
      <c r="U8" s="22"/>
      <c r="V8" s="20">
        <v>78805.460000000006</v>
      </c>
      <c r="W8" s="22"/>
      <c r="X8" s="20">
        <v>45559.26</v>
      </c>
      <c r="Y8" s="22"/>
      <c r="Z8" s="20">
        <v>29174.77</v>
      </c>
    </row>
    <row r="9" spans="1:26" ht="13.75" customHeight="1">
      <c r="A9" s="26" t="s">
        <v>30</v>
      </c>
      <c r="B9" s="27">
        <f>SUM(B3:B8)</f>
        <v>217221.06</v>
      </c>
      <c r="C9" s="14">
        <f t="shared" ref="C9:C14" si="0">(D9-B9)/B9</f>
        <v>0.27390493352716344</v>
      </c>
      <c r="D9" s="27">
        <f>SUM(D3:D8)</f>
        <v>276718.98</v>
      </c>
      <c r="E9" s="15">
        <f t="shared" ref="E9:E14" si="1">(F9-D9)/D9</f>
        <v>3.0314761929232475E-2</v>
      </c>
      <c r="F9" s="27">
        <f>SUM(F3:F8)</f>
        <v>285107.65000000002</v>
      </c>
      <c r="G9" s="16">
        <f t="shared" ref="G9:G14" si="2">(H9-F9)/F9</f>
        <v>-6.3081365933183614E-2</v>
      </c>
      <c r="H9" s="27">
        <f>SUM(H3:H8)</f>
        <v>267122.67</v>
      </c>
      <c r="I9" s="15">
        <f t="shared" ref="I9:I14" si="3">(J9-H9)/H9</f>
        <v>0.24162423204290373</v>
      </c>
      <c r="J9" s="27">
        <f>SUM(J3:J8)</f>
        <v>331665.98</v>
      </c>
      <c r="K9" s="17">
        <f t="shared" ref="K9:K14" si="4">(L9-J9)/J9</f>
        <v>1.6682778257812232E-2</v>
      </c>
      <c r="L9" s="27">
        <f>SUM(L3:L8)</f>
        <v>337199.08999999997</v>
      </c>
      <c r="M9" s="15">
        <f t="shared" ref="M9:M14" si="5">(N9-L9)/L9</f>
        <v>9.2325812623041348E-2</v>
      </c>
      <c r="N9" s="27">
        <f>SUM(N3:N8)</f>
        <v>368331.27</v>
      </c>
      <c r="O9" s="15">
        <f t="shared" ref="O9:O14" si="6">(P9-N9)/N9</f>
        <v>4.0950283694349277E-2</v>
      </c>
      <c r="P9" s="27">
        <f>SUM(P3:P8)</f>
        <v>383414.54</v>
      </c>
      <c r="Q9" s="15">
        <f t="shared" ref="Q9:Q14" si="7">(R9-P9)/P9</f>
        <v>-7.6053427707775484E-2</v>
      </c>
      <c r="R9" s="27">
        <f>SUM(R3:R8)</f>
        <v>354254.55</v>
      </c>
      <c r="S9" s="15">
        <f t="shared" ref="S9:S14" si="8">(T9-R9)/R9</f>
        <v>2.167249510274467E-2</v>
      </c>
      <c r="T9" s="27">
        <f>SUM(T3:T8)</f>
        <v>361932.13</v>
      </c>
      <c r="U9" s="15">
        <f t="shared" ref="U9:U14" si="9">(V9-T9)/T9</f>
        <v>-4.5222180191628866E-2</v>
      </c>
      <c r="V9" s="27">
        <f>SUM(V3:V8)</f>
        <v>345564.76999999996</v>
      </c>
      <c r="W9" s="15">
        <f t="shared" ref="W9:W14" si="10">(X9-V9)/V9</f>
        <v>-8.9635757719167861E-2</v>
      </c>
      <c r="X9" s="27">
        <f>SUM(X3:X8)</f>
        <v>314589.81</v>
      </c>
      <c r="Y9" s="15">
        <f t="shared" ref="Y9:Y14" si="11">(Z9-X9)/X9</f>
        <v>-4.5315263072252636E-2</v>
      </c>
      <c r="Z9" s="27">
        <f>SUM(Z3:Z8)</f>
        <v>300334.09000000003</v>
      </c>
    </row>
    <row r="10" spans="1:26" ht="28" customHeight="1">
      <c r="A10" s="12"/>
      <c r="B10" s="13"/>
      <c r="C10" s="14" t="e">
        <f t="shared" si="0"/>
        <v>#DIV/0!</v>
      </c>
      <c r="D10" s="13"/>
      <c r="E10" s="15" t="e">
        <f t="shared" si="1"/>
        <v>#DIV/0!</v>
      </c>
      <c r="F10" s="13"/>
      <c r="G10" s="16" t="e">
        <f t="shared" si="2"/>
        <v>#DIV/0!</v>
      </c>
      <c r="H10" s="13"/>
      <c r="I10" s="15" t="e">
        <f t="shared" si="3"/>
        <v>#DIV/0!</v>
      </c>
      <c r="J10" s="13"/>
      <c r="K10" s="17" t="e">
        <f t="shared" si="4"/>
        <v>#DIV/0!</v>
      </c>
      <c r="L10" s="13"/>
      <c r="M10" s="15" t="e">
        <f t="shared" si="5"/>
        <v>#DIV/0!</v>
      </c>
      <c r="N10" s="13"/>
      <c r="O10" s="15" t="e">
        <f t="shared" si="6"/>
        <v>#DIV/0!</v>
      </c>
      <c r="P10" s="13"/>
      <c r="Q10" s="15" t="e">
        <f t="shared" si="7"/>
        <v>#DIV/0!</v>
      </c>
      <c r="R10" s="18"/>
      <c r="S10" s="15" t="e">
        <f t="shared" si="8"/>
        <v>#DIV/0!</v>
      </c>
      <c r="T10" s="18"/>
      <c r="U10" s="15" t="e">
        <f t="shared" si="9"/>
        <v>#DIV/0!</v>
      </c>
      <c r="V10" s="13"/>
      <c r="W10" s="15" t="e">
        <f t="shared" si="10"/>
        <v>#DIV/0!</v>
      </c>
      <c r="X10" s="13"/>
      <c r="Y10" s="15" t="e">
        <f t="shared" si="11"/>
        <v>#DIV/0!</v>
      </c>
      <c r="Z10" s="13"/>
    </row>
    <row r="11" spans="1:26" ht="28" customHeight="1">
      <c r="A11" s="12"/>
      <c r="B11" s="13"/>
      <c r="C11" s="14" t="e">
        <f t="shared" si="0"/>
        <v>#DIV/0!</v>
      </c>
      <c r="D11" s="13"/>
      <c r="E11" s="15" t="e">
        <f t="shared" si="1"/>
        <v>#DIV/0!</v>
      </c>
      <c r="F11" s="13"/>
      <c r="G11" s="16" t="e">
        <f t="shared" si="2"/>
        <v>#DIV/0!</v>
      </c>
      <c r="H11" s="13"/>
      <c r="I11" s="15" t="e">
        <f t="shared" si="3"/>
        <v>#DIV/0!</v>
      </c>
      <c r="J11" s="13"/>
      <c r="K11" s="17" t="e">
        <f t="shared" si="4"/>
        <v>#DIV/0!</v>
      </c>
      <c r="L11" s="13"/>
      <c r="M11" s="15" t="e">
        <f t="shared" si="5"/>
        <v>#DIV/0!</v>
      </c>
      <c r="N11" s="13"/>
      <c r="O11" s="15" t="e">
        <f t="shared" si="6"/>
        <v>#DIV/0!</v>
      </c>
      <c r="P11" s="13"/>
      <c r="Q11" s="15" t="e">
        <f t="shared" si="7"/>
        <v>#DIV/0!</v>
      </c>
      <c r="R11" s="18"/>
      <c r="S11" s="15" t="e">
        <f t="shared" si="8"/>
        <v>#DIV/0!</v>
      </c>
      <c r="T11" s="18"/>
      <c r="U11" s="15" t="e">
        <f t="shared" si="9"/>
        <v>#DIV/0!</v>
      </c>
      <c r="V11" s="13"/>
      <c r="W11" s="15" t="e">
        <f t="shared" si="10"/>
        <v>#DIV/0!</v>
      </c>
      <c r="X11" s="13"/>
      <c r="Y11" s="15" t="e">
        <f t="shared" si="11"/>
        <v>#DIV/0!</v>
      </c>
      <c r="Z11" s="13"/>
    </row>
    <row r="12" spans="1:26" ht="27.5" customHeight="1">
      <c r="A12" s="12" t="s">
        <v>31</v>
      </c>
      <c r="B12" s="13">
        <v>980452.51</v>
      </c>
      <c r="C12" s="14">
        <f t="shared" si="0"/>
        <v>0.47006681639276943</v>
      </c>
      <c r="D12" s="13">
        <v>1441330.7</v>
      </c>
      <c r="E12" s="15">
        <f t="shared" si="1"/>
        <v>1.389491669052783E-2</v>
      </c>
      <c r="F12" s="13">
        <v>1461357.87</v>
      </c>
      <c r="G12" s="16">
        <f t="shared" si="2"/>
        <v>9.4143811604475731E-3</v>
      </c>
      <c r="H12" s="13">
        <v>1475115.65</v>
      </c>
      <c r="I12" s="15">
        <f t="shared" si="3"/>
        <v>-3.2011144346546588E-2</v>
      </c>
      <c r="J12" s="13">
        <v>1427895.51</v>
      </c>
      <c r="K12" s="17">
        <f t="shared" si="4"/>
        <v>1.152885479694519E-2</v>
      </c>
      <c r="L12" s="13">
        <v>1444357.51</v>
      </c>
      <c r="M12" s="15">
        <f t="shared" si="5"/>
        <v>1.0507599326983788E-2</v>
      </c>
      <c r="N12" s="13">
        <v>1459534.24</v>
      </c>
      <c r="O12" s="15">
        <f t="shared" si="6"/>
        <v>0.28103621604656565</v>
      </c>
      <c r="P12" s="13">
        <v>1869716.22</v>
      </c>
      <c r="Q12" s="15">
        <f t="shared" si="7"/>
        <v>-3.4324749025282583E-2</v>
      </c>
      <c r="R12" s="18">
        <v>1805538.68</v>
      </c>
      <c r="S12" s="15">
        <f t="shared" si="8"/>
        <v>1.7045411621976519E-2</v>
      </c>
      <c r="T12" s="18">
        <v>1836314.83</v>
      </c>
      <c r="U12" s="15">
        <f t="shared" si="9"/>
        <v>2.6102277897512396E-4</v>
      </c>
      <c r="V12" s="13">
        <v>1836794.15</v>
      </c>
      <c r="W12" s="15">
        <f t="shared" si="10"/>
        <v>0.50223278966780249</v>
      </c>
      <c r="X12" s="13">
        <v>2759292.4</v>
      </c>
      <c r="Y12" s="15">
        <f t="shared" si="11"/>
        <v>6.9042700947532449E-3</v>
      </c>
      <c r="Z12" s="13">
        <v>2778343.3</v>
      </c>
    </row>
    <row r="13" spans="1:26" ht="28" customHeight="1">
      <c r="A13" s="12" t="s">
        <v>57</v>
      </c>
      <c r="B13" s="13">
        <v>38443.47</v>
      </c>
      <c r="C13" s="14">
        <f t="shared" si="0"/>
        <v>1.0061006459614568E-2</v>
      </c>
      <c r="D13" s="13">
        <v>38830.25</v>
      </c>
      <c r="E13" s="15">
        <f t="shared" si="1"/>
        <v>3.012470947264053E-2</v>
      </c>
      <c r="F13" s="13">
        <v>40000</v>
      </c>
      <c r="G13" s="16">
        <f t="shared" si="2"/>
        <v>4.1403499999999982E-2</v>
      </c>
      <c r="H13" s="13">
        <v>41656.14</v>
      </c>
      <c r="I13" s="15">
        <f t="shared" si="3"/>
        <v>9.4196437788042792E-2</v>
      </c>
      <c r="J13" s="13">
        <v>45580</v>
      </c>
      <c r="K13" s="17">
        <f t="shared" si="4"/>
        <v>0</v>
      </c>
      <c r="L13" s="13">
        <v>45580</v>
      </c>
      <c r="M13" s="15">
        <f t="shared" si="5"/>
        <v>0</v>
      </c>
      <c r="N13" s="13">
        <v>45580</v>
      </c>
      <c r="O13" s="15">
        <f t="shared" si="6"/>
        <v>0</v>
      </c>
      <c r="P13" s="13">
        <v>45580</v>
      </c>
      <c r="Q13" s="15">
        <f t="shared" si="7"/>
        <v>3.9491004826678368E-3</v>
      </c>
      <c r="R13" s="18">
        <v>45760</v>
      </c>
      <c r="S13" s="15">
        <f t="shared" si="8"/>
        <v>0</v>
      </c>
      <c r="T13" s="18">
        <v>45760</v>
      </c>
      <c r="U13" s="15">
        <f t="shared" si="9"/>
        <v>0</v>
      </c>
      <c r="V13" s="13">
        <v>45760</v>
      </c>
      <c r="W13" s="15">
        <f t="shared" si="10"/>
        <v>0</v>
      </c>
      <c r="X13" s="13">
        <v>45760</v>
      </c>
      <c r="Y13" s="15">
        <f t="shared" si="11"/>
        <v>0</v>
      </c>
      <c r="Z13" s="13">
        <v>45760</v>
      </c>
    </row>
    <row r="14" spans="1:26" ht="28" customHeight="1">
      <c r="A14" s="12"/>
      <c r="B14" s="13"/>
      <c r="C14" s="14" t="e">
        <f t="shared" si="0"/>
        <v>#DIV/0!</v>
      </c>
      <c r="D14" s="13"/>
      <c r="E14" s="15" t="e">
        <f t="shared" si="1"/>
        <v>#DIV/0!</v>
      </c>
      <c r="F14" s="13"/>
      <c r="G14" s="16" t="e">
        <f t="shared" si="2"/>
        <v>#DIV/0!</v>
      </c>
      <c r="H14" s="13"/>
      <c r="I14" s="15" t="e">
        <f t="shared" si="3"/>
        <v>#DIV/0!</v>
      </c>
      <c r="J14" s="13"/>
      <c r="K14" s="17" t="e">
        <f t="shared" si="4"/>
        <v>#DIV/0!</v>
      </c>
      <c r="L14" s="13"/>
      <c r="M14" s="15" t="e">
        <f t="shared" si="5"/>
        <v>#DIV/0!</v>
      </c>
      <c r="N14" s="13"/>
      <c r="O14" s="15" t="e">
        <f t="shared" si="6"/>
        <v>#DIV/0!</v>
      </c>
      <c r="P14" s="13"/>
      <c r="Q14" s="15" t="e">
        <f t="shared" si="7"/>
        <v>#DIV/0!</v>
      </c>
      <c r="R14" s="18"/>
      <c r="S14" s="15" t="e">
        <f t="shared" si="8"/>
        <v>#DIV/0!</v>
      </c>
      <c r="T14" s="18"/>
      <c r="U14" s="15" t="e">
        <f t="shared" si="9"/>
        <v>#DIV/0!</v>
      </c>
      <c r="V14" s="13"/>
      <c r="W14" s="15" t="e">
        <f t="shared" si="10"/>
        <v>#DIV/0!</v>
      </c>
      <c r="X14" s="13"/>
      <c r="Y14" s="15" t="e">
        <f t="shared" si="11"/>
        <v>#DIV/0!</v>
      </c>
      <c r="Z14" s="13"/>
    </row>
    <row r="15" spans="1:26" ht="18.5" customHeight="1">
      <c r="A15" s="19" t="s">
        <v>29</v>
      </c>
      <c r="B15" s="20">
        <v>50658.69</v>
      </c>
      <c r="C15" s="21"/>
      <c r="D15" s="20">
        <v>5058.8999999999996</v>
      </c>
      <c r="E15" s="22"/>
      <c r="F15" s="20">
        <v>1012.54</v>
      </c>
      <c r="G15" s="23"/>
      <c r="H15" s="20">
        <v>1012.54</v>
      </c>
      <c r="I15" s="22"/>
      <c r="J15" s="20">
        <v>14519.52</v>
      </c>
      <c r="K15" s="24"/>
      <c r="L15" s="20">
        <v>14521.65</v>
      </c>
      <c r="M15" s="22"/>
      <c r="N15" s="20">
        <v>466739.72</v>
      </c>
      <c r="O15" s="22"/>
      <c r="P15" s="20">
        <v>19564.46</v>
      </c>
      <c r="Q15" s="22"/>
      <c r="R15" s="25">
        <v>23146.13</v>
      </c>
      <c r="S15" s="22"/>
      <c r="T15" s="25">
        <v>24749.89</v>
      </c>
      <c r="U15" s="22"/>
      <c r="V15" s="20">
        <f>71150.74-40000</f>
        <v>31150.740000000005</v>
      </c>
      <c r="W15" s="22"/>
      <c r="X15" s="20">
        <v>31171.53</v>
      </c>
      <c r="Y15" s="22"/>
      <c r="Z15" s="20">
        <v>11601.72</v>
      </c>
    </row>
    <row r="16" spans="1:26" ht="14">
      <c r="A16" s="26" t="s">
        <v>32</v>
      </c>
      <c r="B16" s="27">
        <f>SUM(B10:B15)</f>
        <v>1069554.67</v>
      </c>
      <c r="C16" s="14">
        <f t="shared" ref="C16:C21" si="12">(D16-B16)/B16</f>
        <v>0.38863387880864469</v>
      </c>
      <c r="D16" s="27">
        <f>SUM(D10:D15)</f>
        <v>1485219.8499999999</v>
      </c>
      <c r="E16" s="15">
        <f t="shared" ref="E16:E21" si="13">(F16-D16)/D16</f>
        <v>1.1547489080488851E-2</v>
      </c>
      <c r="F16" s="27">
        <f>SUM(F10:F15)</f>
        <v>1502370.4100000001</v>
      </c>
      <c r="G16" s="16">
        <f t="shared" ref="G16:G21" si="14">(H16-F16)/F16</f>
        <v>1.0259733483435481E-2</v>
      </c>
      <c r="H16" s="27">
        <f>SUM(H10:H15)</f>
        <v>1517784.3299999998</v>
      </c>
      <c r="I16" s="15">
        <f t="shared" ref="I16:I21" si="15">(J16-H16)/H16</f>
        <v>-1.9626833280061481E-2</v>
      </c>
      <c r="J16" s="27">
        <f>SUM(J10:J15)</f>
        <v>1487995.03</v>
      </c>
      <c r="K16" s="17">
        <f>(L16-J16)/J16</f>
        <v>1.1064640451117561E-2</v>
      </c>
      <c r="L16" s="27">
        <f>SUM(L10:L15)</f>
        <v>1504459.16</v>
      </c>
      <c r="M16" s="15">
        <f>(N16-L16)/L16</f>
        <v>0.31067297300380031</v>
      </c>
      <c r="N16" s="27">
        <f>SUM(N10:N15)</f>
        <v>1971853.96</v>
      </c>
      <c r="O16" s="15">
        <f>(P16-N16)/N16</f>
        <v>-1.8760659131166098E-2</v>
      </c>
      <c r="P16" s="27">
        <f>SUM(P10:P15)</f>
        <v>1934860.68</v>
      </c>
      <c r="Q16" s="15">
        <f t="shared" ref="Q16:Q21" si="16">(R16-P16)/P16</f>
        <v>-3.122492002886746E-2</v>
      </c>
      <c r="R16" s="27">
        <f>SUM(R10:R15)</f>
        <v>1874444.8099999998</v>
      </c>
      <c r="S16" s="15">
        <f t="shared" ref="S16:S21" si="17">(T16-R16)/R16</f>
        <v>1.7274400306296643E-2</v>
      </c>
      <c r="T16" s="27">
        <f>SUM(T10:T15)</f>
        <v>1906824.72</v>
      </c>
      <c r="U16" s="15">
        <f t="shared" ref="U16:U21" si="18">(V16-T16)/T16</f>
        <v>3.6081816686328282E-3</v>
      </c>
      <c r="V16" s="27">
        <f>SUM(V10:V15)</f>
        <v>1913704.89</v>
      </c>
      <c r="W16" s="15">
        <f t="shared" ref="W16:W21" si="19">(X16-V16)/V16</f>
        <v>0.48205919565790517</v>
      </c>
      <c r="X16" s="27">
        <f>SUM(X10:X15)</f>
        <v>2836223.9299999997</v>
      </c>
      <c r="Y16" s="15">
        <f t="shared" ref="Y16:Y21" si="20">(Z16-X16)/X16</f>
        <v>-1.8295805014228317E-4</v>
      </c>
      <c r="Z16" s="27">
        <f>SUM(Z10:Z15)</f>
        <v>2835705.02</v>
      </c>
    </row>
    <row r="17" spans="1:26" ht="27.25" customHeight="1">
      <c r="A17" s="12"/>
      <c r="B17" s="13"/>
      <c r="C17" s="14" t="e">
        <f t="shared" si="12"/>
        <v>#DIV/0!</v>
      </c>
      <c r="D17" s="13"/>
      <c r="E17" s="15" t="e">
        <f t="shared" si="13"/>
        <v>#DIV/0!</v>
      </c>
      <c r="F17" s="13"/>
      <c r="G17" s="16" t="e">
        <f t="shared" si="14"/>
        <v>#DIV/0!</v>
      </c>
      <c r="H17" s="13"/>
      <c r="I17" s="15" t="e">
        <f t="shared" si="15"/>
        <v>#DIV/0!</v>
      </c>
      <c r="J17" s="13"/>
      <c r="K17" s="17" t="e">
        <f>(L17-J17)/J17</f>
        <v>#DIV/0!</v>
      </c>
      <c r="L17" s="13"/>
      <c r="M17" s="15" t="e">
        <f>(N17-L17)/L17</f>
        <v>#DIV/0!</v>
      </c>
      <c r="N17" s="13"/>
      <c r="O17" s="15" t="e">
        <f>(P17-N17)/N17</f>
        <v>#DIV/0!</v>
      </c>
      <c r="P17" s="13"/>
      <c r="Q17" s="15" t="e">
        <f t="shared" si="16"/>
        <v>#DIV/0!</v>
      </c>
      <c r="R17" s="18"/>
      <c r="S17" s="15" t="e">
        <f t="shared" si="17"/>
        <v>#DIV/0!</v>
      </c>
      <c r="T17" s="18"/>
      <c r="U17" s="15" t="e">
        <f t="shared" si="18"/>
        <v>#DIV/0!</v>
      </c>
      <c r="V17" s="13"/>
      <c r="W17" s="15" t="e">
        <f t="shared" si="19"/>
        <v>#DIV/0!</v>
      </c>
      <c r="X17" s="13"/>
      <c r="Y17" s="15" t="e">
        <f t="shared" si="20"/>
        <v>#DIV/0!</v>
      </c>
      <c r="Z17" s="13"/>
    </row>
    <row r="18" spans="1:26" ht="28" customHeight="1">
      <c r="A18" s="12" t="s">
        <v>33</v>
      </c>
      <c r="B18" s="13">
        <v>66918</v>
      </c>
      <c r="C18" s="14">
        <f t="shared" si="12"/>
        <v>0.77799157177441047</v>
      </c>
      <c r="D18" s="13">
        <v>118979.64</v>
      </c>
      <c r="E18" s="15">
        <f t="shared" si="13"/>
        <v>1.2731505995479508E-2</v>
      </c>
      <c r="F18" s="13">
        <v>120494.43</v>
      </c>
      <c r="G18" s="16">
        <f t="shared" si="14"/>
        <v>7.7176181504822056E-3</v>
      </c>
      <c r="H18" s="13">
        <v>121424.36</v>
      </c>
      <c r="I18" s="15">
        <f t="shared" si="15"/>
        <v>8.495000508958829E-3</v>
      </c>
      <c r="J18" s="13">
        <v>122455.86</v>
      </c>
      <c r="K18" s="17">
        <f>(L18-J18)/J18</f>
        <v>9.0097770739595712E-3</v>
      </c>
      <c r="L18" s="13">
        <v>123559.16</v>
      </c>
      <c r="M18" s="15">
        <f>(N18-L18)/L18</f>
        <v>9.771999097436387E-3</v>
      </c>
      <c r="N18" s="13">
        <v>124766.58</v>
      </c>
      <c r="O18" s="15">
        <f>(P18-N18)/N18</f>
        <v>9.4263223372797154E-3</v>
      </c>
      <c r="P18" s="13">
        <v>125942.67</v>
      </c>
      <c r="Q18" s="15">
        <f t="shared" si="16"/>
        <v>1.2681404959891708E-2</v>
      </c>
      <c r="R18" s="18">
        <v>127539.8</v>
      </c>
      <c r="S18" s="15">
        <f t="shared" si="17"/>
        <v>9.9562646326871486E-3</v>
      </c>
      <c r="T18" s="18">
        <v>128809.62</v>
      </c>
      <c r="U18" s="15">
        <f t="shared" si="18"/>
        <v>-9.6225732208510203E-3</v>
      </c>
      <c r="V18" s="13">
        <v>127570.14</v>
      </c>
      <c r="W18" s="15">
        <f t="shared" si="19"/>
        <v>1.3117724884522409E-2</v>
      </c>
      <c r="X18" s="13">
        <v>129243.57</v>
      </c>
      <c r="Y18" s="15">
        <f t="shared" si="20"/>
        <v>9.4763708554320703E-3</v>
      </c>
      <c r="Z18" s="13">
        <v>130468.33</v>
      </c>
    </row>
    <row r="19" spans="1:26" ht="28" customHeight="1">
      <c r="A19" s="12" t="s">
        <v>34</v>
      </c>
      <c r="B19" s="13">
        <v>248775.64</v>
      </c>
      <c r="C19" s="14">
        <f t="shared" si="12"/>
        <v>1.1383389466910724E-2</v>
      </c>
      <c r="D19" s="13">
        <v>251607.55</v>
      </c>
      <c r="E19" s="15">
        <f t="shared" si="13"/>
        <v>1.2394143180520701E-2</v>
      </c>
      <c r="F19" s="13">
        <v>254726.01</v>
      </c>
      <c r="G19" s="16">
        <f t="shared" si="14"/>
        <v>1.197714359833134E-2</v>
      </c>
      <c r="H19" s="13">
        <v>257776.9</v>
      </c>
      <c r="I19" s="15">
        <f t="shared" si="15"/>
        <v>-1.0629734471940681E-2</v>
      </c>
      <c r="J19" s="13">
        <v>255036.79999999999</v>
      </c>
      <c r="K19" s="17">
        <f>(L19-J19)/J19</f>
        <v>9.5410152574059819E-3</v>
      </c>
      <c r="L19" s="13">
        <v>257470.11</v>
      </c>
      <c r="M19" s="15">
        <f>(N19-L19)/L19</f>
        <v>8.1607919459078318E-3</v>
      </c>
      <c r="N19" s="13">
        <v>259571.27</v>
      </c>
      <c r="O19" s="15">
        <f>(P19-N19)/N19</f>
        <v>8.9113868418489225E-3</v>
      </c>
      <c r="P19" s="13">
        <v>261884.41</v>
      </c>
      <c r="Q19" s="15">
        <f t="shared" si="16"/>
        <v>7.9456428887843926E-3</v>
      </c>
      <c r="R19" s="13">
        <v>263965.25</v>
      </c>
      <c r="S19" s="15">
        <f t="shared" si="17"/>
        <v>6.9737209727417033E-3</v>
      </c>
      <c r="T19" s="13">
        <v>265806.07</v>
      </c>
      <c r="U19" s="15">
        <f t="shared" si="18"/>
        <v>-1.2194266293467254E-2</v>
      </c>
      <c r="V19" s="13">
        <v>262564.76</v>
      </c>
      <c r="W19" s="15">
        <f t="shared" si="19"/>
        <v>7.6815715863772973E-3</v>
      </c>
      <c r="X19" s="13">
        <v>264581.67</v>
      </c>
      <c r="Y19" s="15">
        <f t="shared" si="20"/>
        <v>8.1725616139621381E-3</v>
      </c>
      <c r="Z19" s="13">
        <v>266743.98</v>
      </c>
    </row>
    <row r="20" spans="1:26" ht="28" customHeight="1">
      <c r="A20" s="12" t="s">
        <v>35</v>
      </c>
      <c r="B20" s="13">
        <v>227057.92000000001</v>
      </c>
      <c r="C20" s="14">
        <f t="shared" si="12"/>
        <v>9.9692624683603934E-3</v>
      </c>
      <c r="D20" s="13">
        <v>229321.52</v>
      </c>
      <c r="E20" s="15">
        <f t="shared" si="13"/>
        <v>1.1998830288583456E-2</v>
      </c>
      <c r="F20" s="13">
        <v>232073.11</v>
      </c>
      <c r="G20" s="16">
        <f t="shared" si="14"/>
        <v>9.7293477904441972E-3</v>
      </c>
      <c r="H20" s="13">
        <v>234331.03</v>
      </c>
      <c r="I20" s="15">
        <f t="shared" si="15"/>
        <v>1.1359997862852394E-2</v>
      </c>
      <c r="J20" s="13">
        <v>236993.03</v>
      </c>
      <c r="K20" s="17">
        <f>(L20-J20)/J20</f>
        <v>1.0916481383439862E-2</v>
      </c>
      <c r="L20" s="13">
        <v>239580.16</v>
      </c>
      <c r="M20" s="15">
        <f>(N20-L20)/L20</f>
        <v>2.6436245805996038E-3</v>
      </c>
      <c r="N20" s="13">
        <v>240213.52</v>
      </c>
      <c r="O20" s="15">
        <f>(P20-N20)/N20</f>
        <v>1.2406878680267529E-2</v>
      </c>
      <c r="P20" s="13">
        <v>243193.82</v>
      </c>
      <c r="Q20" s="15">
        <f t="shared" si="16"/>
        <v>1.2905549984781637E-2</v>
      </c>
      <c r="R20" s="18">
        <v>246332.37</v>
      </c>
      <c r="S20" s="15">
        <f t="shared" si="17"/>
        <v>1.2181874432499505E-2</v>
      </c>
      <c r="T20" s="18">
        <v>249333.16</v>
      </c>
      <c r="U20" s="15">
        <f t="shared" si="18"/>
        <v>5.9756592344154822E-3</v>
      </c>
      <c r="V20" s="13">
        <v>250823.09</v>
      </c>
      <c r="W20" s="15">
        <f t="shared" si="19"/>
        <v>3.2012204299053944E-2</v>
      </c>
      <c r="X20" s="13">
        <v>258852.49</v>
      </c>
      <c r="Y20" s="15">
        <f t="shared" si="20"/>
        <v>1.4063994516723306E-3</v>
      </c>
      <c r="Z20" s="13">
        <v>259216.54</v>
      </c>
    </row>
    <row r="21" spans="1:26" ht="28" customHeight="1">
      <c r="A21" s="12" t="s">
        <v>36</v>
      </c>
      <c r="B21" s="13">
        <v>19980.240000000002</v>
      </c>
      <c r="C21" s="14">
        <f t="shared" si="12"/>
        <v>0</v>
      </c>
      <c r="D21" s="13">
        <v>19980.240000000002</v>
      </c>
      <c r="E21" s="15">
        <f t="shared" si="13"/>
        <v>-9.2211104571317259E-3</v>
      </c>
      <c r="F21" s="13">
        <v>19796</v>
      </c>
      <c r="G21" s="16">
        <f t="shared" si="14"/>
        <v>9.3069306930693881E-3</v>
      </c>
      <c r="H21" s="13">
        <v>19980.240000000002</v>
      </c>
      <c r="I21" s="15">
        <f t="shared" si="15"/>
        <v>-8.9268196978615159E-3</v>
      </c>
      <c r="J21" s="13">
        <v>19801.88</v>
      </c>
      <c r="K21" s="17"/>
      <c r="L21" s="13">
        <v>25892.76</v>
      </c>
      <c r="M21" s="15"/>
      <c r="N21" s="13">
        <v>25892.76</v>
      </c>
      <c r="O21" s="15"/>
      <c r="P21" s="13">
        <v>25982.76</v>
      </c>
      <c r="Q21" s="15">
        <f t="shared" si="16"/>
        <v>-3.4638352507585803E-3</v>
      </c>
      <c r="R21" s="18">
        <v>25892.76</v>
      </c>
      <c r="S21" s="15">
        <f t="shared" si="17"/>
        <v>0.17716303708063574</v>
      </c>
      <c r="T21" s="18">
        <v>30480</v>
      </c>
      <c r="U21" s="15">
        <f t="shared" si="18"/>
        <v>0.05</v>
      </c>
      <c r="V21" s="13">
        <v>32004</v>
      </c>
      <c r="W21" s="15">
        <f t="shared" si="19"/>
        <v>-8.7301587301587297E-2</v>
      </c>
      <c r="X21" s="13">
        <v>29210</v>
      </c>
      <c r="Y21" s="15">
        <f t="shared" si="20"/>
        <v>-0.10156521739130439</v>
      </c>
      <c r="Z21" s="13">
        <v>26243.279999999999</v>
      </c>
    </row>
    <row r="22" spans="1:26" ht="14.5" customHeight="1">
      <c r="A22" s="19" t="s">
        <v>37</v>
      </c>
      <c r="B22" s="20">
        <v>1102.33</v>
      </c>
      <c r="C22" s="21"/>
      <c r="D22" s="20">
        <v>147.72</v>
      </c>
      <c r="E22" s="22"/>
      <c r="F22" s="20">
        <v>322.16000000000003</v>
      </c>
      <c r="G22" s="23"/>
      <c r="H22" s="20">
        <v>510.32</v>
      </c>
      <c r="I22" s="22"/>
      <c r="J22" s="20">
        <v>5913.23</v>
      </c>
      <c r="K22" s="24"/>
      <c r="L22" s="20">
        <v>60.63</v>
      </c>
      <c r="M22" s="22"/>
      <c r="N22" s="20">
        <v>314.63</v>
      </c>
      <c r="O22" s="22"/>
      <c r="P22" s="20">
        <v>314.63</v>
      </c>
      <c r="Q22" s="22"/>
      <c r="R22" s="20">
        <v>314.63</v>
      </c>
      <c r="S22" s="22"/>
      <c r="T22" s="25">
        <v>314.63</v>
      </c>
      <c r="U22" s="22"/>
      <c r="V22" s="20">
        <v>5621.6</v>
      </c>
      <c r="W22" s="22"/>
      <c r="X22" s="20"/>
      <c r="Y22" s="22"/>
      <c r="Z22" s="20"/>
    </row>
    <row r="23" spans="1:26" ht="14">
      <c r="A23" s="26" t="s">
        <v>38</v>
      </c>
      <c r="B23" s="27">
        <f>SUM(B17:B22)</f>
        <v>563834.13</v>
      </c>
      <c r="C23" s="14">
        <f>(D23-B23)/B23</f>
        <v>9.9679208848176534E-2</v>
      </c>
      <c r="D23" s="27">
        <f>SUM(D17:D22)</f>
        <v>620036.66999999993</v>
      </c>
      <c r="E23" s="15">
        <f>(F23-D23)/D23</f>
        <v>1.189452230301178E-2</v>
      </c>
      <c r="F23" s="27">
        <f>SUM(F17:F22)</f>
        <v>627411.71000000008</v>
      </c>
      <c r="G23" s="16">
        <f>(H23-F23)/F23</f>
        <v>1.0537163866450464E-2</v>
      </c>
      <c r="H23" s="27">
        <f>SUM(H17:H22)</f>
        <v>634022.85</v>
      </c>
      <c r="I23" s="15">
        <f>(J23-H23)/H23</f>
        <v>9.7440494455364717E-3</v>
      </c>
      <c r="J23" s="27">
        <f>SUM(J17:J22)</f>
        <v>640200.79999999993</v>
      </c>
      <c r="K23" s="17">
        <f>(L23-J23)/J23</f>
        <v>9.9375383473437329E-3</v>
      </c>
      <c r="L23" s="27">
        <f>SUM(L17:L22)</f>
        <v>646562.82000000007</v>
      </c>
      <c r="M23" s="15">
        <f>(N23-L23)/L23</f>
        <v>6.4896091612566646E-3</v>
      </c>
      <c r="N23" s="27">
        <f>SUM(N17:N22)</f>
        <v>650758.76</v>
      </c>
      <c r="O23" s="15">
        <f>(P23-N23)/N23</f>
        <v>1.0079818210975797E-2</v>
      </c>
      <c r="P23" s="27">
        <f>SUM(P17:P22)</f>
        <v>657318.29</v>
      </c>
      <c r="Q23" s="15">
        <f>(R23-P23)/P23</f>
        <v>1.0233276788935694E-2</v>
      </c>
      <c r="R23" s="27">
        <f>SUM(R17:R22)</f>
        <v>664044.80999999994</v>
      </c>
      <c r="S23" s="15">
        <f>(T23-R23)/R23</f>
        <v>1.6111367544608988E-2</v>
      </c>
      <c r="T23" s="27">
        <f>SUM(T17:T22)</f>
        <v>674743.48</v>
      </c>
      <c r="U23" s="15">
        <f>(V23-T23)/T23</f>
        <v>5.6912146820595972E-3</v>
      </c>
      <c r="V23" s="27">
        <f>SUM(V17:V22)</f>
        <v>678583.59</v>
      </c>
      <c r="W23" s="15">
        <f>(X23-V23)/V23</f>
        <v>4.8691716815610206E-3</v>
      </c>
      <c r="X23" s="27">
        <f>SUM(X17:X22)</f>
        <v>681887.73</v>
      </c>
      <c r="Y23" s="15">
        <f>(Z23-X23)/X23</f>
        <v>1.1503359944605885E-3</v>
      </c>
      <c r="Z23" s="27">
        <f>SUM(Z17:Z22)</f>
        <v>682672.13</v>
      </c>
    </row>
    <row r="24" spans="1:26" ht="14">
      <c r="A24" s="12"/>
      <c r="B24" s="13"/>
      <c r="C24" s="14" t="e">
        <f>(D24-B24)/B24</f>
        <v>#DIV/0!</v>
      </c>
      <c r="D24" s="13"/>
      <c r="E24" s="15" t="e">
        <f>(F24-D24)/D24</f>
        <v>#DIV/0!</v>
      </c>
      <c r="F24" s="13"/>
      <c r="G24" s="16" t="e">
        <f>(H24-F24)/F24</f>
        <v>#DIV/0!</v>
      </c>
      <c r="H24" s="13"/>
      <c r="I24" s="15" t="e">
        <f>(J24-H24)/H24</f>
        <v>#DIV/0!</v>
      </c>
      <c r="J24" s="13"/>
      <c r="K24" s="17" t="e">
        <f>(L24-J24)/J24</f>
        <v>#DIV/0!</v>
      </c>
      <c r="L24" s="13"/>
      <c r="M24" s="15" t="e">
        <f>(N24-L24)/L24</f>
        <v>#DIV/0!</v>
      </c>
      <c r="N24" s="13"/>
      <c r="O24" s="15" t="e">
        <f>(P24-N24)/N24</f>
        <v>#DIV/0!</v>
      </c>
      <c r="P24" s="13"/>
      <c r="Q24" s="15" t="e">
        <f>(R24-P24)/P24</f>
        <v>#DIV/0!</v>
      </c>
      <c r="R24" s="18"/>
      <c r="S24" s="15" t="e">
        <f>(T24-R24)/R24</f>
        <v>#DIV/0!</v>
      </c>
      <c r="T24" s="18"/>
      <c r="U24" s="15" t="e">
        <f>(V24-T24)/T24</f>
        <v>#DIV/0!</v>
      </c>
      <c r="V24" s="13"/>
      <c r="W24" s="15" t="e">
        <f>(X24-V24)/V24</f>
        <v>#DIV/0!</v>
      </c>
      <c r="X24" s="13"/>
      <c r="Y24" s="15" t="e">
        <f>(Z24-X24)/X24</f>
        <v>#DIV/0!</v>
      </c>
      <c r="Z24" s="13"/>
    </row>
    <row r="25" spans="1:26" ht="13">
      <c r="A25" s="12"/>
      <c r="B25" s="13"/>
      <c r="C25" s="14"/>
      <c r="D25" s="13"/>
      <c r="E25" s="15"/>
      <c r="F25" s="13"/>
      <c r="G25" s="16"/>
      <c r="H25" s="13"/>
      <c r="I25" s="15"/>
      <c r="J25" s="13"/>
      <c r="K25" s="17"/>
      <c r="L25" s="13"/>
      <c r="M25" s="15"/>
      <c r="N25" s="13"/>
      <c r="O25" s="15"/>
      <c r="P25" s="13"/>
      <c r="Q25" s="15"/>
      <c r="R25" s="18"/>
      <c r="S25" s="15"/>
      <c r="T25" s="18"/>
      <c r="U25" s="15"/>
      <c r="V25" s="13"/>
      <c r="W25" s="15"/>
      <c r="X25" s="13"/>
      <c r="Y25" s="15"/>
      <c r="Z25" s="13"/>
    </row>
    <row r="26" spans="1:26" ht="28" customHeight="1">
      <c r="A26" s="12" t="s">
        <v>39</v>
      </c>
      <c r="B26" s="13"/>
      <c r="C26" s="14" t="e">
        <f>(D26-B26)/B26</f>
        <v>#DIV/0!</v>
      </c>
      <c r="D26" s="13"/>
      <c r="E26" s="15" t="e">
        <f>(F26-D26)/D26</f>
        <v>#DIV/0!</v>
      </c>
      <c r="F26" s="13"/>
      <c r="G26" s="16" t="e">
        <f>(H26-F26)/F26</f>
        <v>#DIV/0!</v>
      </c>
      <c r="H26" s="13"/>
      <c r="I26" s="15" t="e">
        <f>(J26-H26)/H26</f>
        <v>#DIV/0!</v>
      </c>
      <c r="J26" s="13"/>
      <c r="K26" s="17" t="e">
        <f>(L26-J26)/J26</f>
        <v>#DIV/0!</v>
      </c>
      <c r="L26" s="13"/>
      <c r="M26" s="15" t="e">
        <f>(N26-L26)/L26</f>
        <v>#DIV/0!</v>
      </c>
      <c r="N26" s="13"/>
      <c r="O26" s="15" t="e">
        <f>(P26-N26)/N26</f>
        <v>#DIV/0!</v>
      </c>
      <c r="P26" s="13"/>
      <c r="Q26" s="15" t="e">
        <f>(R26-P26)/P26</f>
        <v>#DIV/0!</v>
      </c>
      <c r="R26" s="13"/>
      <c r="S26" s="15" t="e">
        <f>(T26-R26)/R26</f>
        <v>#DIV/0!</v>
      </c>
      <c r="T26" s="13"/>
      <c r="U26" s="15" t="e">
        <f>(V26-T26)/T26</f>
        <v>#DIV/0!</v>
      </c>
      <c r="V26" s="13"/>
      <c r="W26" s="15" t="e">
        <f>(X26-V26)/V26</f>
        <v>#DIV/0!</v>
      </c>
      <c r="X26" s="13"/>
      <c r="Y26" s="15" t="e">
        <f>(Z26-X26)/X26</f>
        <v>#DIV/0!</v>
      </c>
      <c r="Z26" s="13">
        <v>3001433.43</v>
      </c>
    </row>
    <row r="27" spans="1:26" ht="28" customHeight="1">
      <c r="A27" s="12" t="s">
        <v>40</v>
      </c>
      <c r="B27" s="13"/>
      <c r="C27" s="14" t="e">
        <f>(D27-B27)/B27</f>
        <v>#DIV/0!</v>
      </c>
      <c r="D27" s="13"/>
      <c r="E27" s="15" t="e">
        <f>(F27-D27)/D27</f>
        <v>#DIV/0!</v>
      </c>
      <c r="F27" s="13"/>
      <c r="G27" s="16" t="e">
        <f>(H27-F27)/F27</f>
        <v>#DIV/0!</v>
      </c>
      <c r="H27" s="13"/>
      <c r="I27" s="15" t="e">
        <f>(J27-H27)/H27</f>
        <v>#DIV/0!</v>
      </c>
      <c r="J27" s="13"/>
      <c r="K27" s="17" t="e">
        <f>(L27-J27)/J27</f>
        <v>#DIV/0!</v>
      </c>
      <c r="L27" s="13"/>
      <c r="M27" s="15" t="e">
        <f>(N27-L27)/L27</f>
        <v>#DIV/0!</v>
      </c>
      <c r="N27" s="13"/>
      <c r="O27" s="15" t="e">
        <f>(P27-N27)/N27</f>
        <v>#DIV/0!</v>
      </c>
      <c r="P27" s="13"/>
      <c r="Q27" s="15" t="e">
        <f>(R27-P27)/P27</f>
        <v>#DIV/0!</v>
      </c>
      <c r="R27" s="18"/>
      <c r="S27" s="15" t="e">
        <f>(T27-R27)/R27</f>
        <v>#DIV/0!</v>
      </c>
      <c r="T27" s="18"/>
      <c r="U27" s="15" t="e">
        <f>(V27-T27)/T27</f>
        <v>#DIV/0!</v>
      </c>
      <c r="V27" s="13"/>
      <c r="W27" s="15" t="e">
        <f>(X27-V27)/V27</f>
        <v>#DIV/0!</v>
      </c>
      <c r="X27" s="13"/>
      <c r="Y27" s="15" t="e">
        <f>(Z27-X27)/X27</f>
        <v>#DIV/0!</v>
      </c>
      <c r="Z27" s="13">
        <v>3004.96</v>
      </c>
    </row>
    <row r="28" spans="1:26" ht="28" customHeight="1">
      <c r="A28" s="12"/>
      <c r="B28" s="13"/>
      <c r="C28" s="14" t="e">
        <f>(D28-B28)/B28</f>
        <v>#DIV/0!</v>
      </c>
      <c r="D28" s="13"/>
      <c r="E28" s="15" t="e">
        <f>(F28-D28)/D28</f>
        <v>#DIV/0!</v>
      </c>
      <c r="F28" s="13"/>
      <c r="G28" s="16" t="e">
        <f>(H28-F28)/F28</f>
        <v>#DIV/0!</v>
      </c>
      <c r="H28" s="13"/>
      <c r="I28" s="15" t="e">
        <f>(J28-H28)/H28</f>
        <v>#DIV/0!</v>
      </c>
      <c r="J28" s="13"/>
      <c r="K28" s="17"/>
      <c r="L28" s="13"/>
      <c r="M28" s="15"/>
      <c r="N28" s="13"/>
      <c r="O28" s="15"/>
      <c r="P28" s="13"/>
      <c r="Q28" s="15" t="e">
        <f>(R28-P28)/P28</f>
        <v>#DIV/0!</v>
      </c>
      <c r="R28" s="18"/>
      <c r="S28" s="15" t="e">
        <f>(T28-R28)/R28</f>
        <v>#DIV/0!</v>
      </c>
      <c r="T28" s="18"/>
      <c r="U28" s="15" t="e">
        <f>(V28-T28)/T28</f>
        <v>#DIV/0!</v>
      </c>
      <c r="V28" s="13"/>
      <c r="W28" s="15" t="e">
        <f>(X28-V28)/V28</f>
        <v>#DIV/0!</v>
      </c>
      <c r="X28" s="13"/>
      <c r="Y28" s="15" t="e">
        <f>(Z28-X28)/X28</f>
        <v>#DIV/0!</v>
      </c>
      <c r="Z28" s="13"/>
    </row>
    <row r="29" spans="1:26" ht="14.5" customHeight="1">
      <c r="A29" s="19" t="s">
        <v>37</v>
      </c>
      <c r="B29" s="20"/>
      <c r="C29" s="21"/>
      <c r="D29" s="20"/>
      <c r="E29" s="22"/>
      <c r="F29" s="20"/>
      <c r="G29" s="23"/>
      <c r="H29" s="20"/>
      <c r="I29" s="22"/>
      <c r="J29" s="20"/>
      <c r="K29" s="24"/>
      <c r="L29" s="20"/>
      <c r="M29" s="22"/>
      <c r="N29" s="20"/>
      <c r="O29" s="22"/>
      <c r="P29" s="20"/>
      <c r="Q29" s="22"/>
      <c r="R29" s="20"/>
      <c r="S29" s="22"/>
      <c r="T29" s="25"/>
      <c r="U29" s="22"/>
      <c r="V29" s="20"/>
      <c r="W29" s="22"/>
      <c r="X29" s="20"/>
      <c r="Y29" s="22"/>
      <c r="Z29" s="20"/>
    </row>
    <row r="30" spans="1:26" ht="14">
      <c r="A30" s="26" t="s">
        <v>43</v>
      </c>
      <c r="B30" s="27">
        <f>SUM(B24:B29)</f>
        <v>0</v>
      </c>
      <c r="C30" s="14" t="e">
        <f>(D30-B30)/B30</f>
        <v>#DIV/0!</v>
      </c>
      <c r="D30" s="27">
        <f>SUM(D24:D29)</f>
        <v>0</v>
      </c>
      <c r="E30" s="15" t="e">
        <f>(F30-D30)/D30</f>
        <v>#DIV/0!</v>
      </c>
      <c r="F30" s="27">
        <f>SUM(F24:F29)</f>
        <v>0</v>
      </c>
      <c r="G30" s="16" t="e">
        <f>(H30-F30)/F30</f>
        <v>#DIV/0!</v>
      </c>
      <c r="H30" s="27">
        <f>SUM(H24:H29)</f>
        <v>0</v>
      </c>
      <c r="I30" s="15" t="e">
        <f>(J30-H30)/H30</f>
        <v>#DIV/0!</v>
      </c>
      <c r="J30" s="27">
        <f>SUM(J24:J29)</f>
        <v>0</v>
      </c>
      <c r="K30" s="17" t="e">
        <f>(L30-J30)/J30</f>
        <v>#DIV/0!</v>
      </c>
      <c r="L30" s="27">
        <f>SUM(L24:L29)</f>
        <v>0</v>
      </c>
      <c r="M30" s="15" t="e">
        <f>(N30-L30)/L30</f>
        <v>#DIV/0!</v>
      </c>
      <c r="N30" s="27">
        <f>SUM(N24:N29)</f>
        <v>0</v>
      </c>
      <c r="O30" s="15" t="e">
        <f>(P30-N30)/N30</f>
        <v>#DIV/0!</v>
      </c>
      <c r="P30" s="27">
        <f>SUM(P24:P29)</f>
        <v>0</v>
      </c>
      <c r="Q30" s="15" t="e">
        <f>(R30-P30)/P30</f>
        <v>#DIV/0!</v>
      </c>
      <c r="R30" s="27">
        <f>SUM(R24:R29)</f>
        <v>0</v>
      </c>
      <c r="S30" s="15" t="e">
        <f>(T30-R30)/R30</f>
        <v>#DIV/0!</v>
      </c>
      <c r="T30" s="27">
        <f>SUM(T24:T29)</f>
        <v>0</v>
      </c>
      <c r="U30" s="15" t="e">
        <f>(V30-T30)/T30</f>
        <v>#DIV/0!</v>
      </c>
      <c r="V30" s="27">
        <f>SUM(V24:V29)</f>
        <v>0</v>
      </c>
      <c r="W30" s="15" t="e">
        <f>(X30-V30)/V30</f>
        <v>#DIV/0!</v>
      </c>
      <c r="X30" s="27">
        <f>SUM(X24:X29)</f>
        <v>0</v>
      </c>
      <c r="Y30" s="15" t="e">
        <f>(Z30-X30)/X30</f>
        <v>#DIV/0!</v>
      </c>
      <c r="Z30" s="27">
        <f>SUM(Z24:Z29)</f>
        <v>3004438.39</v>
      </c>
    </row>
    <row r="31" spans="1:26" ht="12.75" customHeight="1">
      <c r="A31" s="12"/>
      <c r="B31" s="13"/>
      <c r="C31" s="14"/>
      <c r="D31" s="13"/>
      <c r="E31" s="15"/>
      <c r="F31" s="13"/>
      <c r="G31" s="16"/>
      <c r="H31" s="13"/>
      <c r="I31" s="15"/>
      <c r="J31" s="13"/>
      <c r="K31" s="17"/>
      <c r="L31" s="13"/>
      <c r="M31" s="15"/>
      <c r="N31" s="13"/>
      <c r="O31" s="15"/>
      <c r="P31" s="13"/>
      <c r="Q31" s="15"/>
      <c r="R31" s="18"/>
      <c r="S31" s="15"/>
      <c r="T31" s="18"/>
      <c r="U31" s="15"/>
      <c r="V31" s="13"/>
      <c r="W31" s="15"/>
      <c r="X31" s="13"/>
      <c r="Y31" s="15"/>
      <c r="Z31" s="13"/>
    </row>
    <row r="32" spans="1:26" ht="13">
      <c r="A32" s="12"/>
      <c r="B32" s="13"/>
      <c r="C32" s="14"/>
      <c r="D32" s="13"/>
      <c r="E32" s="15"/>
      <c r="F32" s="13"/>
      <c r="G32" s="16"/>
      <c r="H32" s="13"/>
      <c r="I32" s="15"/>
      <c r="J32" s="13"/>
      <c r="K32" s="17"/>
      <c r="L32" s="13"/>
      <c r="M32" s="15"/>
      <c r="N32" s="13"/>
      <c r="O32" s="15"/>
      <c r="P32" s="13"/>
      <c r="Q32" s="15"/>
      <c r="R32" s="18"/>
      <c r="S32" s="15"/>
      <c r="T32" s="18"/>
      <c r="U32" s="15"/>
      <c r="V32" s="13"/>
      <c r="W32" s="15"/>
      <c r="X32" s="13"/>
      <c r="Y32" s="15"/>
      <c r="Z32" s="13"/>
    </row>
    <row r="33" spans="1:61" ht="23.25" customHeight="1">
      <c r="A33" s="28" t="s">
        <v>44</v>
      </c>
      <c r="B33" s="29">
        <f>SUM(B9+B16+B23+B30)</f>
        <v>1850609.8599999999</v>
      </c>
      <c r="C33" s="3">
        <f>(D33-B33)/B33</f>
        <v>0.28713001669622584</v>
      </c>
      <c r="D33" s="29">
        <f>SUM(D9+D16+D23+D30)</f>
        <v>2381975.5</v>
      </c>
      <c r="E33" s="3">
        <f>(F33-D33)/D33</f>
        <v>1.3818055643309521E-2</v>
      </c>
      <c r="F33" s="29">
        <f>SUM(F9+F16+F23+F30)</f>
        <v>2414889.77</v>
      </c>
      <c r="G33" s="3">
        <f>(H33-F33)/F33</f>
        <v>1.6729873347385163E-3</v>
      </c>
      <c r="H33" s="29">
        <f>SUM(H9+H16+H23+H30)</f>
        <v>2418929.8499999996</v>
      </c>
      <c r="I33" s="3">
        <f>(J33-H33)/H33</f>
        <v>1.6921515933998845E-2</v>
      </c>
      <c r="J33" s="29">
        <f>SUM(J9+J16+J23+J30)</f>
        <v>2459861.81</v>
      </c>
      <c r="K33" s="3">
        <f>(L33-J33)/J33</f>
        <v>1.1528802099659509E-2</v>
      </c>
      <c r="L33" s="29">
        <f>SUM(L9+L16+L23+L30)</f>
        <v>2488221.0700000003</v>
      </c>
      <c r="M33" s="3">
        <f>(N33-L33)/L33</f>
        <v>0.20204109918577284</v>
      </c>
      <c r="N33" s="29">
        <f>SUM(N9+N16+N23+N30)</f>
        <v>2990943.99</v>
      </c>
      <c r="O33" s="3">
        <f>(P33-N33)/N33</f>
        <v>-5.1323194454070825E-3</v>
      </c>
      <c r="P33" s="29">
        <f>SUM(P9+P16+P23+P30)</f>
        <v>2975593.51</v>
      </c>
      <c r="Q33" s="3">
        <f>(R33-P33)/P33</f>
        <v>-2.7842962999337854E-2</v>
      </c>
      <c r="R33" s="29">
        <f>SUM(R9+R16+R23+R30)</f>
        <v>2892744.17</v>
      </c>
      <c r="S33" s="3">
        <f>(T33-R33)/R33</f>
        <v>1.7546024472672311E-2</v>
      </c>
      <c r="T33" s="29">
        <f>SUM(T9+T16+T23+T30)</f>
        <v>2943500.33</v>
      </c>
      <c r="U33" s="3">
        <f>(V33-T33)/T33</f>
        <v>-1.9184913765579704E-3</v>
      </c>
      <c r="V33" s="29">
        <f>SUM(V9+V16+V23+V30)</f>
        <v>2937853.2499999995</v>
      </c>
      <c r="W33" s="3">
        <f>(X33-V33)/V33</f>
        <v>0.3045925524019964</v>
      </c>
      <c r="X33" s="29">
        <f>SUM(X9+X16+X23+X30)</f>
        <v>3832701.4699999997</v>
      </c>
      <c r="Y33" s="3">
        <f>(Z33-X33)/X33</f>
        <v>0.78024552222691124</v>
      </c>
      <c r="Z33" s="29">
        <f>SUM(Z9+Z16+Z23+Z30)</f>
        <v>6823149.6299999999</v>
      </c>
      <c r="AA33" s="30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</row>
    <row r="34" spans="1:61" ht="13">
      <c r="A34" s="32"/>
      <c r="B34" s="33"/>
      <c r="C34" s="34"/>
      <c r="D34" s="33"/>
      <c r="E34" s="34"/>
      <c r="F34" s="33"/>
      <c r="G34" s="35"/>
      <c r="H34" s="33"/>
      <c r="I34" s="34"/>
      <c r="K34" s="37"/>
      <c r="L34" s="33"/>
      <c r="M34" s="34"/>
      <c r="N34" s="33"/>
      <c r="O34" s="34"/>
      <c r="P34" s="33"/>
      <c r="Q34" s="34"/>
      <c r="R34" s="33"/>
      <c r="S34" s="34"/>
      <c r="T34" s="33"/>
      <c r="U34" s="34"/>
      <c r="V34" s="33"/>
      <c r="W34" s="34"/>
      <c r="X34" s="33"/>
      <c r="Y34" s="34"/>
      <c r="Z34" s="33"/>
      <c r="AA34" s="38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</row>
    <row r="35" spans="1:61" ht="13">
      <c r="A35" s="32"/>
      <c r="B35" s="33"/>
      <c r="C35" s="34"/>
      <c r="D35" s="33"/>
      <c r="E35" s="34"/>
      <c r="F35" s="33"/>
      <c r="G35" s="35"/>
      <c r="H35" s="33"/>
      <c r="I35" s="34"/>
      <c r="J35" s="33"/>
      <c r="K35" s="37"/>
      <c r="L35" s="33"/>
      <c r="M35" s="34"/>
      <c r="N35" s="33"/>
      <c r="O35" s="34"/>
      <c r="P35" s="33"/>
      <c r="Q35" s="34"/>
      <c r="R35" s="33"/>
      <c r="S35" s="34"/>
      <c r="T35" s="33"/>
      <c r="U35" s="34"/>
      <c r="V35" s="33"/>
      <c r="W35" s="34"/>
      <c r="X35" s="33"/>
      <c r="Y35" s="34"/>
      <c r="Z35" s="33"/>
      <c r="AA35" s="38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</row>
    <row r="36" spans="1:61" ht="25.25" customHeight="1">
      <c r="A36" s="1" t="s">
        <v>0</v>
      </c>
      <c r="B36" s="2" t="s">
        <v>1</v>
      </c>
      <c r="C36" s="3" t="s">
        <v>2</v>
      </c>
      <c r="D36" s="1" t="s">
        <v>3</v>
      </c>
      <c r="E36" s="3" t="s">
        <v>4</v>
      </c>
      <c r="F36" s="1" t="s">
        <v>5</v>
      </c>
      <c r="G36" s="4" t="s">
        <v>6</v>
      </c>
      <c r="H36" s="1" t="s">
        <v>7</v>
      </c>
      <c r="I36" s="3" t="s">
        <v>8</v>
      </c>
      <c r="J36" s="1" t="s">
        <v>9</v>
      </c>
      <c r="K36" s="5" t="s">
        <v>10</v>
      </c>
      <c r="L36" s="1" t="s">
        <v>11</v>
      </c>
      <c r="M36" s="3" t="s">
        <v>12</v>
      </c>
      <c r="N36" s="1" t="s">
        <v>13</v>
      </c>
      <c r="O36" s="3" t="s">
        <v>14</v>
      </c>
      <c r="P36" s="1" t="s">
        <v>15</v>
      </c>
      <c r="Q36" s="3" t="s">
        <v>16</v>
      </c>
      <c r="R36" s="1" t="s">
        <v>17</v>
      </c>
      <c r="S36" s="3" t="s">
        <v>18</v>
      </c>
      <c r="T36" s="1" t="s">
        <v>19</v>
      </c>
      <c r="U36" s="3" t="s">
        <v>20</v>
      </c>
      <c r="V36" s="1" t="s">
        <v>21</v>
      </c>
      <c r="W36" s="3" t="s">
        <v>22</v>
      </c>
      <c r="X36" s="1" t="s">
        <v>23</v>
      </c>
      <c r="Y36" s="3" t="s">
        <v>24</v>
      </c>
      <c r="Z36" s="1" t="s">
        <v>25</v>
      </c>
    </row>
    <row r="37" spans="1:61" ht="27.25" customHeight="1">
      <c r="A37" s="12" t="s">
        <v>58</v>
      </c>
      <c r="B37" s="40">
        <v>57241.51</v>
      </c>
      <c r="C37" s="14">
        <f>(D37-B37)/B37</f>
        <v>2.0771639322582766E-3</v>
      </c>
      <c r="D37" s="40">
        <v>57360.41</v>
      </c>
      <c r="E37" s="15">
        <f>(F37-D37)/D37</f>
        <v>2.3695785995950561E-3</v>
      </c>
      <c r="F37" s="40">
        <v>57496.33</v>
      </c>
      <c r="G37" s="16">
        <f>(H37-F37)/F37</f>
        <v>1.695064711086762E-3</v>
      </c>
      <c r="H37" s="40">
        <v>57593.79</v>
      </c>
      <c r="I37" s="15">
        <f>(J37-H37)/H37</f>
        <v>-0.34557371549953564</v>
      </c>
      <c r="J37" s="40">
        <v>37690.89</v>
      </c>
      <c r="K37" s="17">
        <f>(L37-J37)/J37</f>
        <v>1.6534499450662934E-3</v>
      </c>
      <c r="L37" s="40">
        <v>37753.21</v>
      </c>
      <c r="M37" s="15">
        <f>(N37-L37)/L37</f>
        <v>1.5529805280133102E-3</v>
      </c>
      <c r="N37" s="40">
        <v>37811.839999999997</v>
      </c>
      <c r="O37" s="15">
        <f>(P37-N37)/N37</f>
        <v>1.5907715678475699E-3</v>
      </c>
      <c r="P37" s="40">
        <v>37871.99</v>
      </c>
      <c r="Q37" s="15">
        <f>(R37-P37)/P37</f>
        <v>1.3714621280794153E-3</v>
      </c>
      <c r="R37" s="40">
        <v>37923.93</v>
      </c>
      <c r="S37" s="15">
        <f>(T37-R37)/R37</f>
        <v>-1</v>
      </c>
      <c r="T37" s="40"/>
      <c r="U37" s="15" t="e">
        <f>(V37-T37)/T37</f>
        <v>#DIV/0!</v>
      </c>
      <c r="V37" s="40"/>
      <c r="W37" s="15" t="e">
        <f>(X37-V37)/V37</f>
        <v>#DIV/0!</v>
      </c>
      <c r="X37" s="40"/>
      <c r="Y37" s="15" t="e">
        <f>(Z37-X37)/X37</f>
        <v>#DIV/0!</v>
      </c>
      <c r="Z37" s="40"/>
    </row>
    <row r="38" spans="1:61" ht="28" customHeight="1">
      <c r="A38" s="12"/>
      <c r="B38" s="40"/>
      <c r="C38" s="14" t="e">
        <f>(D38-B38)/B38</f>
        <v>#DIV/0!</v>
      </c>
      <c r="D38" s="40"/>
      <c r="E38" s="15" t="e">
        <f>(F38-D38)/D38</f>
        <v>#DIV/0!</v>
      </c>
      <c r="F38" s="40"/>
      <c r="G38" s="16" t="e">
        <f>(H38-F38)/F38</f>
        <v>#DIV/0!</v>
      </c>
      <c r="H38" s="40"/>
      <c r="I38" s="15" t="e">
        <f>(J38-H38)/H38</f>
        <v>#DIV/0!</v>
      </c>
      <c r="J38" s="40"/>
      <c r="K38" s="17" t="e">
        <f>(L38-J38)/J38</f>
        <v>#DIV/0!</v>
      </c>
      <c r="L38" s="40"/>
      <c r="M38" s="15" t="e">
        <f>(N38-L38)/L38</f>
        <v>#DIV/0!</v>
      </c>
      <c r="N38" s="40"/>
      <c r="O38" s="15" t="e">
        <f>(P38-N38)/N38</f>
        <v>#DIV/0!</v>
      </c>
      <c r="P38" s="40"/>
      <c r="Q38" s="15" t="e">
        <f>(R38-P38)/P38</f>
        <v>#DIV/0!</v>
      </c>
      <c r="R38" s="40"/>
      <c r="S38" s="15" t="e">
        <f>(T38-R38)/R38</f>
        <v>#DIV/0!</v>
      </c>
      <c r="T38" s="40"/>
      <c r="U38" s="15" t="e">
        <f>(V38-T38)/T38</f>
        <v>#DIV/0!</v>
      </c>
      <c r="V38" s="40"/>
      <c r="W38" s="15" t="e">
        <f>(X38-V38)/V38</f>
        <v>#DIV/0!</v>
      </c>
      <c r="X38" s="40"/>
      <c r="Y38" s="15" t="e">
        <f>(Z38-X38)/X38</f>
        <v>#DIV/0!</v>
      </c>
      <c r="Z38" s="40"/>
    </row>
    <row r="39" spans="1:61" ht="28" customHeight="1">
      <c r="A39" s="12"/>
      <c r="B39" s="40"/>
      <c r="C39" s="14" t="e">
        <f>(D39-B39)/B39</f>
        <v>#DIV/0!</v>
      </c>
      <c r="D39" s="40"/>
      <c r="E39" s="15" t="e">
        <f>(F39-D39)/D39</f>
        <v>#DIV/0!</v>
      </c>
      <c r="F39" s="40"/>
      <c r="G39" s="16" t="e">
        <f>(H39-F39)/F39</f>
        <v>#DIV/0!</v>
      </c>
      <c r="H39" s="40"/>
      <c r="I39" s="15" t="e">
        <f>(J39-H39)/H39</f>
        <v>#DIV/0!</v>
      </c>
      <c r="J39" s="40"/>
      <c r="K39" s="17"/>
      <c r="L39" s="40"/>
      <c r="M39" s="15"/>
      <c r="N39" s="40"/>
      <c r="O39" s="15"/>
      <c r="P39" s="40"/>
      <c r="Q39" s="15"/>
      <c r="R39" s="40"/>
      <c r="S39" s="15"/>
      <c r="T39" s="40"/>
      <c r="U39" s="15"/>
      <c r="V39" s="40"/>
      <c r="W39" s="15"/>
      <c r="X39" s="40"/>
      <c r="Y39" s="15"/>
      <c r="Z39" s="40"/>
    </row>
    <row r="40" spans="1:61" ht="14.5" customHeight="1">
      <c r="A40" s="19" t="s">
        <v>29</v>
      </c>
      <c r="B40" s="41">
        <v>39524.19</v>
      </c>
      <c r="C40" s="21"/>
      <c r="D40" s="41">
        <v>33183.99</v>
      </c>
      <c r="E40" s="22"/>
      <c r="F40" s="41">
        <v>23711.31</v>
      </c>
      <c r="G40" s="23"/>
      <c r="H40" s="41">
        <v>14704.14</v>
      </c>
      <c r="I40" s="22"/>
      <c r="J40" s="41">
        <v>27750.47</v>
      </c>
      <c r="K40" s="24"/>
      <c r="L40" s="41">
        <v>22631.64</v>
      </c>
      <c r="M40" s="22"/>
      <c r="N40" s="41">
        <v>12610.09</v>
      </c>
      <c r="O40" s="22"/>
      <c r="P40" s="41">
        <v>9466.17</v>
      </c>
      <c r="Q40" s="22"/>
      <c r="R40" s="41">
        <v>6743.39</v>
      </c>
      <c r="S40" s="22"/>
      <c r="T40" s="41">
        <v>38352.25</v>
      </c>
      <c r="U40" s="22"/>
      <c r="V40" s="41">
        <f>56065.66-20800</f>
        <v>35265.660000000003</v>
      </c>
      <c r="W40" s="22"/>
      <c r="X40" s="41">
        <f>37453.13-7093.84</f>
        <v>30359.289999999997</v>
      </c>
      <c r="Y40" s="22"/>
      <c r="Z40" s="41">
        <v>26635.74</v>
      </c>
    </row>
    <row r="41" spans="1:61" ht="20.5" customHeight="1">
      <c r="A41" s="42" t="s">
        <v>45</v>
      </c>
      <c r="B41" s="43">
        <f>SUM(B37:B40)</f>
        <v>96765.700000000012</v>
      </c>
      <c r="C41" s="44">
        <f>(D41-B41)/B41</f>
        <v>-6.42924093971316E-2</v>
      </c>
      <c r="D41" s="43">
        <f>SUM(D37:D40)</f>
        <v>90544.4</v>
      </c>
      <c r="E41" s="45">
        <f>(F41-D41)/D41</f>
        <v>-0.10311802828225705</v>
      </c>
      <c r="F41" s="43">
        <f>SUM(F37:F40)</f>
        <v>81207.64</v>
      </c>
      <c r="G41" s="46">
        <f>(H41-F41)/F41</f>
        <v>-0.10971516965645112</v>
      </c>
      <c r="H41" s="43">
        <f>SUM(H37:H40)</f>
        <v>72297.929999999993</v>
      </c>
      <c r="I41" s="45">
        <f>(J41-H41)/H41</f>
        <v>-9.4837708354858746E-2</v>
      </c>
      <c r="J41" s="43">
        <f>SUM(J37:J40)</f>
        <v>65441.36</v>
      </c>
      <c r="K41" s="47">
        <f>(L41-J41)/J41</f>
        <v>-7.7267801280413523E-2</v>
      </c>
      <c r="L41" s="43">
        <f>SUM(L37:L40)</f>
        <v>60384.85</v>
      </c>
      <c r="M41" s="45">
        <f>(N41-L41)/L41</f>
        <v>-0.16499039080166641</v>
      </c>
      <c r="N41" s="43">
        <f>SUM(N37:N40)</f>
        <v>50421.929999999993</v>
      </c>
      <c r="O41" s="45">
        <f>(P41-N41)/N41</f>
        <v>-6.1159301121555584E-2</v>
      </c>
      <c r="P41" s="43">
        <f>SUM(P37:P40)</f>
        <v>47338.159999999996</v>
      </c>
      <c r="Q41" s="45">
        <f>(R41-P41)/P41</f>
        <v>-5.6420443887130314E-2</v>
      </c>
      <c r="R41" s="43">
        <f>SUM(R37:R40)</f>
        <v>44667.32</v>
      </c>
      <c r="S41" s="45">
        <f>(T41-R41)/R41</f>
        <v>-0.14138009623142825</v>
      </c>
      <c r="T41" s="43">
        <f>SUM(T37:T40)</f>
        <v>38352.25</v>
      </c>
      <c r="U41" s="45">
        <f>(V41-T41)/T41</f>
        <v>-8.0480023988162272E-2</v>
      </c>
      <c r="V41" s="43">
        <f>SUM(V37:V40)</f>
        <v>35265.660000000003</v>
      </c>
      <c r="W41" s="45">
        <f>(X41-V41)/V41</f>
        <v>-0.13912599395559322</v>
      </c>
      <c r="X41" s="43">
        <f>SUM(X37:X40)</f>
        <v>30359.289999999997</v>
      </c>
      <c r="Y41" s="45">
        <f>(Z41-X41)/X41</f>
        <v>-0.12264944272412154</v>
      </c>
      <c r="Z41" s="43">
        <f>SUM(Z37:Z40)</f>
        <v>26635.74</v>
      </c>
      <c r="AA41" s="48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</row>
    <row r="42" spans="1:61" ht="12" customHeight="1">
      <c r="A42" s="50"/>
      <c r="B42" s="51"/>
      <c r="C42" s="52"/>
      <c r="D42" s="51"/>
      <c r="E42" s="53"/>
      <c r="F42" s="51"/>
      <c r="G42" s="54"/>
      <c r="H42" s="51"/>
      <c r="I42" s="53"/>
      <c r="J42" s="51"/>
      <c r="K42" s="55"/>
      <c r="L42" s="51"/>
      <c r="M42" s="53"/>
      <c r="N42" s="51"/>
      <c r="O42" s="53"/>
      <c r="P42" s="51"/>
      <c r="Q42" s="53"/>
      <c r="R42" s="51"/>
      <c r="S42" s="53"/>
      <c r="T42" s="51"/>
      <c r="U42" s="53"/>
      <c r="V42" s="51"/>
      <c r="W42" s="53"/>
      <c r="X42" s="51"/>
      <c r="Y42" s="53"/>
      <c r="Z42" s="51"/>
      <c r="AA42" s="56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</row>
    <row r="43" spans="1:61" ht="25.25" customHeight="1">
      <c r="A43" s="1" t="s">
        <v>0</v>
      </c>
      <c r="B43" s="2" t="s">
        <v>1</v>
      </c>
      <c r="C43" s="3" t="s">
        <v>2</v>
      </c>
      <c r="D43" s="1" t="s">
        <v>3</v>
      </c>
      <c r="E43" s="3" t="s">
        <v>4</v>
      </c>
      <c r="F43" s="1" t="s">
        <v>5</v>
      </c>
      <c r="G43" s="4" t="s">
        <v>6</v>
      </c>
      <c r="H43" s="1" t="s">
        <v>7</v>
      </c>
      <c r="I43" s="3" t="s">
        <v>8</v>
      </c>
      <c r="J43" s="1" t="s">
        <v>9</v>
      </c>
      <c r="K43" s="5" t="s">
        <v>10</v>
      </c>
      <c r="L43" s="1" t="s">
        <v>11</v>
      </c>
      <c r="M43" s="3" t="s">
        <v>12</v>
      </c>
      <c r="N43" s="1" t="s">
        <v>13</v>
      </c>
      <c r="O43" s="3" t="s">
        <v>14</v>
      </c>
      <c r="P43" s="1" t="s">
        <v>15</v>
      </c>
      <c r="Q43" s="3" t="s">
        <v>16</v>
      </c>
      <c r="R43" s="1" t="s">
        <v>17</v>
      </c>
      <c r="S43" s="3" t="s">
        <v>18</v>
      </c>
      <c r="T43" s="1" t="s">
        <v>19</v>
      </c>
      <c r="U43" s="3" t="s">
        <v>20</v>
      </c>
      <c r="V43" s="1" t="s">
        <v>21</v>
      </c>
      <c r="W43" s="3" t="s">
        <v>22</v>
      </c>
      <c r="X43" s="1" t="s">
        <v>23</v>
      </c>
      <c r="Y43" s="3" t="s">
        <v>24</v>
      </c>
      <c r="Z43" s="1" t="s">
        <v>25</v>
      </c>
    </row>
    <row r="44" spans="1:61" ht="27.25" customHeight="1">
      <c r="A44" s="12"/>
      <c r="B44" s="40"/>
      <c r="C44" s="14" t="e">
        <f>(D44-B44)/B44</f>
        <v>#DIV/0!</v>
      </c>
      <c r="D44" s="40"/>
      <c r="E44" s="15" t="e">
        <f>(F44-D44)/D44</f>
        <v>#DIV/0!</v>
      </c>
      <c r="F44" s="40"/>
      <c r="G44" s="16" t="e">
        <f>(H44-F44)/F44</f>
        <v>#DIV/0!</v>
      </c>
      <c r="H44" s="40"/>
      <c r="I44" s="15" t="e">
        <f>(J44-H44)/H44</f>
        <v>#DIV/0!</v>
      </c>
      <c r="J44" s="40"/>
      <c r="K44" s="17" t="e">
        <f>(L44-J44)/J44</f>
        <v>#DIV/0!</v>
      </c>
      <c r="L44" s="40"/>
      <c r="M44" s="15" t="e">
        <f>(N44-L44)/L44</f>
        <v>#DIV/0!</v>
      </c>
      <c r="N44" s="40"/>
      <c r="O44" s="15" t="e">
        <f>(P44-N44)/N44</f>
        <v>#DIV/0!</v>
      </c>
      <c r="P44" s="40"/>
      <c r="Q44" s="15" t="e">
        <f>(R44-P44)/P44</f>
        <v>#DIV/0!</v>
      </c>
      <c r="R44" s="40"/>
      <c r="S44" s="15" t="e">
        <f>(T44-R44)/R44</f>
        <v>#DIV/0!</v>
      </c>
      <c r="T44" s="40"/>
      <c r="U44" s="15" t="e">
        <f>(V44-T44)/T44</f>
        <v>#DIV/0!</v>
      </c>
      <c r="V44" s="40"/>
      <c r="W44" s="15" t="e">
        <f>(X44-V44)/V44</f>
        <v>#DIV/0!</v>
      </c>
      <c r="X44" s="40"/>
      <c r="Y44" s="15" t="e">
        <f>(Z44-X44)/X44</f>
        <v>#DIV/0!</v>
      </c>
      <c r="Z44" s="40"/>
    </row>
    <row r="45" spans="1:61" ht="28" customHeight="1">
      <c r="A45" s="12" t="s">
        <v>46</v>
      </c>
      <c r="B45" s="40">
        <v>207497.3</v>
      </c>
      <c r="C45" s="14">
        <f>(D45-B45)/B45</f>
        <v>4.0733060141024081E-3</v>
      </c>
      <c r="D45" s="40">
        <v>208342.5</v>
      </c>
      <c r="E45" s="15">
        <f>(F45-D45)/D45</f>
        <v>3.9299230833842805E-3</v>
      </c>
      <c r="F45" s="40">
        <v>209161.27</v>
      </c>
      <c r="G45" s="16">
        <f>(H45-F45)/F45</f>
        <v>3.4094744213400727E-3</v>
      </c>
      <c r="H45" s="40">
        <v>209874.4</v>
      </c>
      <c r="I45" s="15">
        <f>(J45-H45)/H45</f>
        <v>5.0315807930841408E-4</v>
      </c>
      <c r="J45" s="40">
        <v>209980</v>
      </c>
      <c r="K45" s="17">
        <f>(L45-J45)/J45</f>
        <v>2.5163348890370734E-3</v>
      </c>
      <c r="L45" s="40">
        <v>210508.38</v>
      </c>
      <c r="M45" s="15">
        <f>(N45-L45)/L45</f>
        <v>3.3349266190733063E-3</v>
      </c>
      <c r="N45" s="40">
        <v>211210.41</v>
      </c>
      <c r="O45" s="15">
        <f>(P45-N45)/N45</f>
        <v>3.5531866066639477E-3</v>
      </c>
      <c r="P45" s="40">
        <v>211960.88</v>
      </c>
      <c r="Q45" s="15">
        <f>(R45-P45)/P45</f>
        <v>3.6547310050798216E-3</v>
      </c>
      <c r="R45" s="40">
        <v>212735.54</v>
      </c>
      <c r="S45" s="15">
        <f>(T45-R45)/R45</f>
        <v>3.5276663222327206E-3</v>
      </c>
      <c r="T45" s="40">
        <v>213486</v>
      </c>
      <c r="U45" s="15">
        <f>(V45-T45)/T45</f>
        <v>3.2884591963876233E-3</v>
      </c>
      <c r="V45" s="40">
        <v>214188.04</v>
      </c>
      <c r="W45" s="15">
        <f>(X45-V45)/V45</f>
        <v>6.4562428415704523E-3</v>
      </c>
      <c r="X45" s="40">
        <v>215570.89</v>
      </c>
      <c r="Y45" s="15">
        <f>(Z45-X45)/X45</f>
        <v>3.2086892622653386E-3</v>
      </c>
      <c r="Z45" s="40">
        <v>216262.59</v>
      </c>
    </row>
    <row r="46" spans="1:61" ht="28" customHeight="1">
      <c r="A46" s="12"/>
      <c r="B46" s="40"/>
      <c r="C46" s="14" t="e">
        <f>(D46-B46)/B46</f>
        <v>#DIV/0!</v>
      </c>
      <c r="D46" s="40"/>
      <c r="E46" s="15" t="e">
        <f>(F46-D46)/D46</f>
        <v>#DIV/0!</v>
      </c>
      <c r="F46" s="40"/>
      <c r="G46" s="16" t="e">
        <f>(H46-F46)/F46</f>
        <v>#DIV/0!</v>
      </c>
      <c r="H46" s="40"/>
      <c r="I46" s="15" t="e">
        <f>(J46-H46)/H46</f>
        <v>#DIV/0!</v>
      </c>
      <c r="J46" s="40"/>
      <c r="K46" s="17"/>
      <c r="L46" s="40"/>
      <c r="M46" s="15"/>
      <c r="N46" s="40"/>
      <c r="O46" s="15"/>
      <c r="P46" s="40"/>
      <c r="Q46" s="15"/>
      <c r="R46" s="40"/>
      <c r="S46" s="15"/>
      <c r="T46" s="40"/>
      <c r="U46" s="15"/>
      <c r="V46" s="40"/>
      <c r="W46" s="15"/>
      <c r="X46" s="40"/>
      <c r="Y46" s="15"/>
      <c r="Z46" s="40"/>
    </row>
    <row r="47" spans="1:61" ht="14.5" customHeight="1">
      <c r="A47" s="19" t="s">
        <v>29</v>
      </c>
      <c r="B47" s="41">
        <v>22582.71</v>
      </c>
      <c r="C47" s="21"/>
      <c r="D47" s="41">
        <v>21607.71</v>
      </c>
      <c r="E47" s="22"/>
      <c r="F47" s="41">
        <v>22407.71</v>
      </c>
      <c r="G47" s="23"/>
      <c r="H47" s="41">
        <v>22407.71</v>
      </c>
      <c r="I47" s="22"/>
      <c r="J47" s="41">
        <v>22408</v>
      </c>
      <c r="K47" s="24"/>
      <c r="L47" s="41">
        <v>22363.33</v>
      </c>
      <c r="M47" s="22"/>
      <c r="N47" s="41">
        <v>22363.33</v>
      </c>
      <c r="O47" s="22"/>
      <c r="P47" s="41">
        <v>21388.33</v>
      </c>
      <c r="Q47" s="22"/>
      <c r="R47" s="41">
        <v>21388.33</v>
      </c>
      <c r="S47" s="22"/>
      <c r="T47" s="41">
        <v>21388.33</v>
      </c>
      <c r="U47" s="22"/>
      <c r="V47" s="41">
        <v>21857.08</v>
      </c>
      <c r="W47" s="22"/>
      <c r="X47" s="41">
        <v>21063.77</v>
      </c>
      <c r="Y47" s="22"/>
      <c r="Z47" s="41">
        <v>21063.77</v>
      </c>
    </row>
    <row r="48" spans="1:61" ht="21" customHeight="1">
      <c r="A48" s="42" t="s">
        <v>47</v>
      </c>
      <c r="B48" s="43">
        <f>SUM(B44:B47)</f>
        <v>230080.00999999998</v>
      </c>
      <c r="C48" s="58">
        <f>(D48-B48)/B48</f>
        <v>-5.6415157492382051E-4</v>
      </c>
      <c r="D48" s="43">
        <f>SUM(D44:D47)</f>
        <v>229950.21</v>
      </c>
      <c r="E48" s="59">
        <f>(F48-D48)/D48</f>
        <v>7.039654366917036E-3</v>
      </c>
      <c r="F48" s="43">
        <f>SUM(F44:F47)</f>
        <v>231568.97999999998</v>
      </c>
      <c r="G48" s="60">
        <f>(H48-F48)/F48</f>
        <v>3.079557546956439E-3</v>
      </c>
      <c r="H48" s="43">
        <f>SUM(H44:H47)</f>
        <v>232282.11</v>
      </c>
      <c r="I48" s="59">
        <f>(J48-H48)/H48</f>
        <v>4.5586808213518457E-4</v>
      </c>
      <c r="J48" s="43">
        <f>SUM(J44:J47)</f>
        <v>232388</v>
      </c>
      <c r="K48" s="61">
        <f>(L48-J48)/J48</f>
        <v>2.0814758077010043E-3</v>
      </c>
      <c r="L48" s="43">
        <f>SUM(L44:L47)</f>
        <v>232871.71000000002</v>
      </c>
      <c r="M48" s="59">
        <f>(N48-L48)/L48</f>
        <v>3.0146641685242473E-3</v>
      </c>
      <c r="N48" s="43">
        <f>SUM(N44:N47)</f>
        <v>233573.74</v>
      </c>
      <c r="O48" s="59">
        <f>(P48-N48)/N48</f>
        <v>-9.612810070171833E-4</v>
      </c>
      <c r="P48" s="43">
        <f>SUM(P44:P47)</f>
        <v>233349.21000000002</v>
      </c>
      <c r="Q48" s="59">
        <f>(R48-P48)/P48</f>
        <v>3.3197455435995445E-3</v>
      </c>
      <c r="R48" s="43">
        <f>SUM(R44:R47)</f>
        <v>234123.87</v>
      </c>
      <c r="S48" s="59">
        <f>(T48-R48)/R48</f>
        <v>3.2053972113139126E-3</v>
      </c>
      <c r="T48" s="43">
        <f>SUM(T44:T47)</f>
        <v>234874.33000000002</v>
      </c>
      <c r="U48" s="59">
        <f>(V48-T48)/T48</f>
        <v>4.9847507814071417E-3</v>
      </c>
      <c r="V48" s="43">
        <f>SUM(V44:V47)</f>
        <v>236045.12</v>
      </c>
      <c r="W48" s="59">
        <f>(X48-V48)/V48</f>
        <v>2.4975733452994417E-3</v>
      </c>
      <c r="X48" s="43">
        <f>SUM(X44:X47)</f>
        <v>236634.66</v>
      </c>
      <c r="Y48" s="59">
        <f>(Z48-X48)/X48</f>
        <v>2.9230713708633493E-3</v>
      </c>
      <c r="Z48" s="43">
        <f>SUM(Z44:Z47)</f>
        <v>237326.36</v>
      </c>
      <c r="AA48" s="62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</row>
    <row r="49" spans="1:61" ht="13">
      <c r="A49" s="32"/>
      <c r="B49" s="33"/>
      <c r="C49" s="34"/>
      <c r="D49" s="33"/>
      <c r="E49" s="34"/>
      <c r="F49" s="33"/>
      <c r="G49" s="35"/>
      <c r="H49" s="33"/>
      <c r="I49" s="34"/>
      <c r="J49" s="33"/>
      <c r="K49" s="37"/>
      <c r="L49" s="33"/>
      <c r="M49" s="34"/>
      <c r="N49" s="33"/>
      <c r="O49" s="34"/>
      <c r="P49" s="33"/>
      <c r="Q49" s="34"/>
      <c r="R49" s="33"/>
      <c r="S49" s="34"/>
      <c r="T49" s="33"/>
      <c r="U49" s="34"/>
      <c r="V49" s="33"/>
      <c r="W49" s="34"/>
      <c r="X49" s="33"/>
      <c r="Y49" s="34"/>
      <c r="Z49" s="33"/>
      <c r="AA49" s="38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</row>
    <row r="50" spans="1:61" ht="25.25" customHeight="1">
      <c r="A50" s="1" t="s">
        <v>0</v>
      </c>
      <c r="B50" s="2" t="s">
        <v>1</v>
      </c>
      <c r="C50" s="3" t="s">
        <v>2</v>
      </c>
      <c r="D50" s="1" t="s">
        <v>3</v>
      </c>
      <c r="E50" s="3" t="s">
        <v>4</v>
      </c>
      <c r="F50" s="1" t="s">
        <v>5</v>
      </c>
      <c r="G50" s="4" t="s">
        <v>6</v>
      </c>
      <c r="H50" s="1" t="s">
        <v>7</v>
      </c>
      <c r="I50" s="3" t="s">
        <v>8</v>
      </c>
      <c r="J50" s="1" t="s">
        <v>9</v>
      </c>
      <c r="K50" s="5" t="s">
        <v>10</v>
      </c>
      <c r="L50" s="1" t="s">
        <v>11</v>
      </c>
      <c r="M50" s="3" t="s">
        <v>12</v>
      </c>
      <c r="N50" s="1" t="s">
        <v>13</v>
      </c>
      <c r="O50" s="3" t="s">
        <v>14</v>
      </c>
      <c r="P50" s="1" t="s">
        <v>15</v>
      </c>
      <c r="Q50" s="3" t="s">
        <v>16</v>
      </c>
      <c r="R50" s="1" t="s">
        <v>17</v>
      </c>
      <c r="S50" s="3" t="s">
        <v>18</v>
      </c>
      <c r="T50" s="1" t="s">
        <v>19</v>
      </c>
      <c r="U50" s="3" t="s">
        <v>20</v>
      </c>
      <c r="V50" s="1" t="s">
        <v>21</v>
      </c>
      <c r="W50" s="3" t="s">
        <v>22</v>
      </c>
      <c r="X50" s="1" t="s">
        <v>23</v>
      </c>
      <c r="Y50" s="3" t="s">
        <v>24</v>
      </c>
      <c r="Z50" s="1" t="s">
        <v>25</v>
      </c>
    </row>
    <row r="51" spans="1:61" ht="28" customHeight="1">
      <c r="A51" s="12"/>
      <c r="B51" s="40"/>
      <c r="C51" s="14" t="e">
        <f>(D51-B51)/B51</f>
        <v>#DIV/0!</v>
      </c>
      <c r="D51" s="40"/>
      <c r="E51" s="15" t="e">
        <f>(F51-D51)/D51</f>
        <v>#DIV/0!</v>
      </c>
      <c r="F51" s="40"/>
      <c r="G51" s="16" t="e">
        <f>(H51-F51)/F51</f>
        <v>#DIV/0!</v>
      </c>
      <c r="H51" s="40"/>
      <c r="I51" s="15" t="e">
        <f>(J51-H51)/H51</f>
        <v>#DIV/0!</v>
      </c>
      <c r="J51" s="40"/>
      <c r="K51" s="17"/>
      <c r="L51" s="40"/>
      <c r="M51" s="15"/>
      <c r="N51" s="40"/>
      <c r="O51" s="15"/>
      <c r="P51" s="40"/>
      <c r="Q51" s="15"/>
      <c r="R51" s="40"/>
      <c r="S51" s="15"/>
      <c r="T51" s="40"/>
      <c r="U51" s="15"/>
      <c r="V51" s="40"/>
      <c r="W51" s="15"/>
      <c r="X51" s="40"/>
      <c r="Y51" s="15"/>
      <c r="Z51" s="40"/>
    </row>
    <row r="52" spans="1:61" ht="14.5" customHeight="1">
      <c r="A52" s="19" t="s">
        <v>29</v>
      </c>
      <c r="B52" s="41"/>
      <c r="C52" s="21"/>
      <c r="D52" s="41"/>
      <c r="E52" s="22"/>
      <c r="F52" s="41"/>
      <c r="G52" s="23"/>
      <c r="H52" s="41"/>
      <c r="I52" s="22"/>
      <c r="J52" s="41"/>
      <c r="K52" s="24"/>
      <c r="L52" s="41"/>
      <c r="M52" s="22"/>
      <c r="N52" s="41"/>
      <c r="O52" s="22"/>
      <c r="P52" s="41"/>
      <c r="Q52" s="22"/>
      <c r="R52" s="41"/>
      <c r="S52" s="22"/>
      <c r="T52" s="41">
        <v>3464.78</v>
      </c>
      <c r="U52" s="22"/>
      <c r="V52" s="41">
        <v>3442.91</v>
      </c>
      <c r="W52" s="22"/>
      <c r="X52" s="41">
        <v>3687.76</v>
      </c>
      <c r="Y52" s="22"/>
      <c r="Z52" s="41">
        <v>4549.9399999999996</v>
      </c>
    </row>
    <row r="53" spans="1:61" ht="21" customHeight="1">
      <c r="A53" s="42" t="s">
        <v>48</v>
      </c>
      <c r="B53" s="43">
        <f>SUM(B51:B52)</f>
        <v>0</v>
      </c>
      <c r="C53" s="58" t="e">
        <f>(D53-B53)/B53</f>
        <v>#DIV/0!</v>
      </c>
      <c r="D53" s="43">
        <f>SUM(D51:D52)</f>
        <v>0</v>
      </c>
      <c r="E53" s="59" t="e">
        <f>(F53-D53)/D53</f>
        <v>#DIV/0!</v>
      </c>
      <c r="F53" s="43">
        <f>SUM(F51:F52)</f>
        <v>0</v>
      </c>
      <c r="G53" s="60" t="e">
        <f>(H53-F53)/F53</f>
        <v>#DIV/0!</v>
      </c>
      <c r="H53" s="43">
        <f>SUM(H51:H52)</f>
        <v>0</v>
      </c>
      <c r="I53" s="59" t="e">
        <f>(J53-H53)/H53</f>
        <v>#DIV/0!</v>
      </c>
      <c r="J53" s="43">
        <f>SUM(J51:J52)</f>
        <v>0</v>
      </c>
      <c r="K53" s="61" t="e">
        <f>(L53-J53)/J53</f>
        <v>#DIV/0!</v>
      </c>
      <c r="L53" s="43">
        <f>SUM(L51:L52)</f>
        <v>0</v>
      </c>
      <c r="M53" s="59" t="e">
        <f>(N53-L53)/L53</f>
        <v>#DIV/0!</v>
      </c>
      <c r="N53" s="43">
        <f>SUM(N51:N52)</f>
        <v>0</v>
      </c>
      <c r="O53" s="59" t="e">
        <f>(P53-N53)/N53</f>
        <v>#DIV/0!</v>
      </c>
      <c r="P53" s="43">
        <f>SUM(P51:P52)</f>
        <v>0</v>
      </c>
      <c r="Q53" s="59" t="e">
        <f>(R53-P53)/P53</f>
        <v>#DIV/0!</v>
      </c>
      <c r="R53" s="43">
        <f>SUM(R51:R52)</f>
        <v>0</v>
      </c>
      <c r="S53" s="59" t="e">
        <f>(T53-R53)/R53</f>
        <v>#DIV/0!</v>
      </c>
      <c r="T53" s="43">
        <f>SUM(T51:T52)</f>
        <v>3464.78</v>
      </c>
      <c r="U53" s="59">
        <f>(V53-T53)/T53</f>
        <v>-6.3120890792489979E-3</v>
      </c>
      <c r="V53" s="43">
        <f>SUM(V51:V52)</f>
        <v>3442.91</v>
      </c>
      <c r="W53" s="59">
        <f>(X53-V53)/V53</f>
        <v>7.1117165421111905E-2</v>
      </c>
      <c r="X53" s="43">
        <f>SUM(X51:X52)</f>
        <v>3687.76</v>
      </c>
      <c r="Y53" s="59">
        <f>(Z53-X53)/X53</f>
        <v>0.23379504089203185</v>
      </c>
      <c r="Z53" s="43">
        <f>SUM(Z51:Z52)</f>
        <v>4549.9399999999996</v>
      </c>
      <c r="AA53" s="62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</row>
    <row r="54" spans="1:61" ht="13">
      <c r="A54" s="32"/>
      <c r="B54" s="33"/>
      <c r="C54" s="34"/>
      <c r="D54" s="33"/>
      <c r="E54" s="34"/>
      <c r="F54" s="33"/>
      <c r="G54" s="35"/>
      <c r="H54" s="33"/>
      <c r="I54" s="34"/>
      <c r="J54" s="33"/>
      <c r="K54" s="37"/>
      <c r="L54" s="33"/>
      <c r="M54" s="34"/>
      <c r="N54" s="33"/>
      <c r="O54" s="34"/>
      <c r="P54" s="33"/>
      <c r="Q54" s="34"/>
      <c r="R54" s="33"/>
      <c r="S54" s="34"/>
      <c r="T54" s="33"/>
      <c r="U54" s="34"/>
      <c r="V54" s="33"/>
      <c r="W54" s="34"/>
      <c r="X54" s="33"/>
      <c r="Y54" s="34"/>
      <c r="Z54" s="33"/>
      <c r="AA54" s="38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</row>
    <row r="55" spans="1:61" ht="13">
      <c r="A55" s="32"/>
      <c r="B55" s="33"/>
      <c r="C55" s="34"/>
      <c r="D55" s="33"/>
      <c r="E55" s="34"/>
      <c r="F55" s="33"/>
      <c r="G55" s="35"/>
      <c r="H55" s="33"/>
      <c r="I55" s="34"/>
      <c r="J55" s="33"/>
      <c r="K55" s="37"/>
      <c r="L55" s="33"/>
      <c r="M55" s="34"/>
      <c r="N55" s="33"/>
      <c r="O55" s="34"/>
      <c r="P55" s="33"/>
      <c r="Q55" s="34"/>
      <c r="R55" s="33"/>
      <c r="S55" s="34"/>
      <c r="T55" s="33"/>
      <c r="U55" s="34"/>
      <c r="V55" s="33"/>
      <c r="W55" s="34"/>
      <c r="X55" s="33"/>
      <c r="Y55" s="34"/>
      <c r="Z55" s="33"/>
      <c r="AA55" s="38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</row>
    <row r="56" spans="1:61" ht="33" customHeight="1">
      <c r="A56" s="64" t="s">
        <v>49</v>
      </c>
      <c r="B56" s="65">
        <f>B33+B41+B53+B48</f>
        <v>2177455.5699999998</v>
      </c>
      <c r="C56" s="14">
        <f>(D56-B56)/B56</f>
        <v>0.24111377850065618</v>
      </c>
      <c r="D56" s="65">
        <f>D33+D41+D53+D48</f>
        <v>2702470.11</v>
      </c>
      <c r="E56" s="15">
        <f>(F56-D56)/D56</f>
        <v>9.3234259675124623E-3</v>
      </c>
      <c r="F56" s="65">
        <f>F33+F41+F53+F48</f>
        <v>2727666.39</v>
      </c>
      <c r="G56" s="16">
        <f>(H56-F56)/F56</f>
        <v>-1.5238300457998699E-3</v>
      </c>
      <c r="H56" s="65">
        <f>H33+H41+H53+H48</f>
        <v>2723509.8899999997</v>
      </c>
      <c r="I56" s="15">
        <f>(J56-H56)/H56</f>
        <v>1.2550451946403715E-2</v>
      </c>
      <c r="J56" s="65">
        <f>J33+J41+J53+J48</f>
        <v>2757691.17</v>
      </c>
      <c r="K56" s="17">
        <f>(L56-J56)/J56</f>
        <v>8.6254981191387099E-3</v>
      </c>
      <c r="L56" s="65">
        <f>L33+L41+L53+L48</f>
        <v>2781477.6300000004</v>
      </c>
      <c r="M56" s="15">
        <f>(N56-L56)/L56</f>
        <v>0.1774100300781494</v>
      </c>
      <c r="N56" s="65">
        <f>N33+N41+N53+N48</f>
        <v>3274939.66</v>
      </c>
      <c r="O56" s="15">
        <f>(P56-N56)/N56</f>
        <v>-5.6974423766941278E-3</v>
      </c>
      <c r="P56" s="65">
        <f>P33+P41+P53+P48</f>
        <v>3256280.88</v>
      </c>
      <c r="Q56" s="15">
        <f>(R56-P56)/P56</f>
        <v>-2.602524878013595E-2</v>
      </c>
      <c r="R56" s="65">
        <f>R33+R41+R53+R48</f>
        <v>3171535.36</v>
      </c>
      <c r="S56" s="15">
        <f>(T56-R56)/R56</f>
        <v>1.534156945360372E-2</v>
      </c>
      <c r="T56" s="65">
        <f>T33+T41+T53+T48</f>
        <v>3220191.69</v>
      </c>
      <c r="U56" s="15">
        <f>(V56-T56)/T56</f>
        <v>-2.3553722045658717E-3</v>
      </c>
      <c r="V56" s="65">
        <f>V33+V41+V53+V48</f>
        <v>3212606.94</v>
      </c>
      <c r="W56" s="15">
        <f>(X56-V56)/V56</f>
        <v>0.27727520254936627</v>
      </c>
      <c r="X56" s="65">
        <f>X33+X41+X53+X48</f>
        <v>4103383.1799999997</v>
      </c>
      <c r="Y56" s="15">
        <f>(Z56-X56)/X56</f>
        <v>0.72824748723564281</v>
      </c>
      <c r="Z56" s="65">
        <f>Z33+Z41+Z53+Z48</f>
        <v>7091661.6700000009</v>
      </c>
    </row>
    <row r="57" spans="1:61" ht="13"/>
    <row r="58" spans="1:61" ht="13">
      <c r="G58" s="36"/>
    </row>
    <row r="59" spans="1:61" ht="14">
      <c r="A59" s="1" t="s">
        <v>50</v>
      </c>
      <c r="B59" s="71" t="s">
        <v>51</v>
      </c>
      <c r="C59" s="72"/>
      <c r="D59" s="73" t="s">
        <v>52</v>
      </c>
      <c r="F59" s="74" t="s">
        <v>53</v>
      </c>
      <c r="G59" s="36"/>
      <c r="P59" s="75"/>
    </row>
    <row r="60" spans="1:61" ht="28">
      <c r="A60" s="76" t="s">
        <v>54</v>
      </c>
      <c r="B60" s="84">
        <v>166917.19</v>
      </c>
      <c r="C60" s="84"/>
      <c r="D60" s="77">
        <v>168605.23</v>
      </c>
      <c r="E60" s="78">
        <f>((D60-(B60))/(B60))</f>
        <v>1.0113038687028029E-2</v>
      </c>
      <c r="F60" s="79" t="s">
        <v>59</v>
      </c>
      <c r="G60" s="36"/>
    </row>
    <row r="61" spans="1:61" ht="14">
      <c r="A61" s="80" t="s">
        <v>56</v>
      </c>
      <c r="B61" s="81">
        <f>SUM(B60:B60)</f>
        <v>166917.19</v>
      </c>
      <c r="C61" s="82"/>
      <c r="D61" s="81">
        <f>SUM(D60:D60)</f>
        <v>168605.23</v>
      </c>
      <c r="F61" s="68"/>
      <c r="G61" s="36"/>
    </row>
    <row r="62" spans="1:61" ht="13">
      <c r="A62" s="83"/>
    </row>
    <row r="63" spans="1:61" ht="13">
      <c r="A63" s="83"/>
    </row>
    <row r="64" spans="1:61" ht="13"/>
  </sheetData>
  <mergeCells count="1">
    <mergeCell ref="B60:C60"/>
  </mergeCells>
  <conditionalFormatting sqref="E1:E32 G1:G32 I1:I32 K1:K32 M1:M32 O1:O32 Q1:Q32 S1:S32 U1:U32 W1:W32 Y1:Y32 E34:E57 G34:G57 I34:I57 K34:K57 M34:M57 O34:O57 Q34:Q57 S34:S57 U34:U57 W34:W57 Y34:Y57 E62:E1048576 G62:G1048576 I60:I1048576 K60:K1048576 M60:M1048576 O60:O1048576 Q60:Q1048576 S60:S1048576 U60:U1048576 W60:W1048576 Y60:Y1048576">
    <cfRule type="cellIs" dxfId="1" priority="1" stopIfTrue="1" operator="equal">
      <formula>#DIV/0!</formula>
    </cfRule>
  </conditionalFormatting>
  <pageMargins left="0" right="0" top="0.39370078740157477" bottom="0.39370078740157477" header="0" footer="0"/>
  <pageSetup paperSize="0" fitToWidth="0" fitToHeight="0" orientation="portrait" horizontalDpi="0" verticalDpi="0" copies="0"/>
  <headerFooter>
    <oddHeader>&amp;C&amp;A</oddHeader>
    <oddFooter>&amp;CPágina &amp;P</oddFooter>
  </headerFooter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6700-45F6-6548-B3C0-9D99BDBCCBB1}">
  <dimension ref="A1:BI64"/>
  <sheetViews>
    <sheetView workbookViewId="0"/>
  </sheetViews>
  <sheetFormatPr baseColWidth="10" defaultColWidth="13.796875" defaultRowHeight="12.5"/>
  <cols>
    <col min="1" max="1" width="36.796875" style="66" customWidth="1"/>
    <col min="2" max="2" width="22.19921875" style="67" customWidth="1"/>
    <col min="3" max="3" width="15" style="68" customWidth="1"/>
    <col min="4" max="4" width="23.19921875" style="36" customWidth="1"/>
    <col min="5" max="5" width="16.3984375" style="68" customWidth="1"/>
    <col min="6" max="6" width="23.3984375" style="36" customWidth="1"/>
    <col min="7" max="7" width="13.19921875" style="69" customWidth="1"/>
    <col min="8" max="8" width="22.59765625" style="36" customWidth="1"/>
    <col min="9" max="9" width="15.796875" style="68" customWidth="1"/>
    <col min="10" max="10" width="20" style="36" customWidth="1"/>
    <col min="11" max="11" width="18.3984375" style="70" customWidth="1"/>
    <col min="12" max="12" width="20" style="36" customWidth="1"/>
    <col min="13" max="13" width="14.796875" style="68" customWidth="1"/>
    <col min="14" max="14" width="20" style="36" customWidth="1"/>
    <col min="15" max="15" width="16.19921875" style="68" customWidth="1"/>
    <col min="16" max="16" width="20.796875" style="36" customWidth="1"/>
    <col min="17" max="17" width="14.19921875" style="68" customWidth="1"/>
    <col min="18" max="18" width="21.59765625" style="36" customWidth="1"/>
    <col min="19" max="19" width="14.796875" style="68" customWidth="1"/>
    <col min="20" max="20" width="21.3984375" style="36" customWidth="1"/>
    <col min="21" max="21" width="15.3984375" style="68" customWidth="1"/>
    <col min="22" max="22" width="24.19921875" style="36" customWidth="1"/>
    <col min="23" max="23" width="14.59765625" style="68" customWidth="1"/>
    <col min="24" max="24" width="20" style="36" customWidth="1"/>
    <col min="25" max="25" width="15.19921875" style="68" customWidth="1"/>
    <col min="26" max="26" width="23.3984375" style="36" customWidth="1"/>
    <col min="27" max="27" width="19.59765625" style="6" customWidth="1"/>
    <col min="28" max="61" width="17" customWidth="1"/>
    <col min="62" max="62" width="13.796875" customWidth="1"/>
  </cols>
  <sheetData>
    <row r="1" spans="1:26" ht="25.2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3" t="s">
        <v>8</v>
      </c>
      <c r="J1" s="1" t="s">
        <v>9</v>
      </c>
      <c r="K1" s="5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3" t="s">
        <v>20</v>
      </c>
      <c r="V1" s="1" t="s">
        <v>21</v>
      </c>
      <c r="W1" s="3" t="s">
        <v>22</v>
      </c>
      <c r="X1" s="1" t="s">
        <v>23</v>
      </c>
      <c r="Y1" s="3" t="s">
        <v>24</v>
      </c>
      <c r="Z1" s="1" t="s">
        <v>25</v>
      </c>
    </row>
    <row r="2" spans="1:26" ht="11.25" customHeight="1">
      <c r="A2" s="7"/>
      <c r="B2" s="8"/>
      <c r="C2" s="8"/>
      <c r="D2" s="9"/>
      <c r="E2" s="8"/>
      <c r="F2" s="9"/>
      <c r="G2" s="10"/>
      <c r="H2" s="9"/>
      <c r="I2" s="8"/>
      <c r="J2" s="9"/>
      <c r="K2" s="11"/>
      <c r="L2" s="9"/>
      <c r="M2" s="8"/>
      <c r="N2" s="9"/>
      <c r="O2" s="8"/>
      <c r="P2" s="9"/>
      <c r="Q2" s="8"/>
      <c r="R2" s="9"/>
      <c r="S2" s="8"/>
      <c r="T2" s="9"/>
      <c r="U2" s="8"/>
      <c r="V2" s="9"/>
      <c r="W2" s="8"/>
      <c r="X2" s="9"/>
      <c r="Y2" s="8"/>
      <c r="Z2" s="9"/>
    </row>
    <row r="3" spans="1:26" ht="28" customHeight="1">
      <c r="A3" s="12" t="s">
        <v>60</v>
      </c>
      <c r="B3" s="13">
        <v>50955.66</v>
      </c>
      <c r="C3" s="14">
        <f>(D3-B3)/B3</f>
        <v>4.8002518267842775E-3</v>
      </c>
      <c r="D3" s="13">
        <v>51200.26</v>
      </c>
      <c r="E3" s="15">
        <f>(F3-D3)/D3</f>
        <v>6.4839514486839701E-3</v>
      </c>
      <c r="F3" s="13">
        <v>51532.24</v>
      </c>
      <c r="G3" s="16">
        <f>(H3-F3)/F3</f>
        <v>7.51859418492199E-3</v>
      </c>
      <c r="H3" s="13">
        <v>51919.69</v>
      </c>
      <c r="I3" s="15">
        <f>(J3-H3)/H3</f>
        <v>-3.9227892154210763E-3</v>
      </c>
      <c r="J3" s="13">
        <v>51716.02</v>
      </c>
      <c r="K3" s="17">
        <f>(L3-J3)/J3</f>
        <v>1.2825812968592767E-2</v>
      </c>
      <c r="L3" s="13">
        <v>52379.32</v>
      </c>
      <c r="M3" s="15">
        <f>(N3-L3)/L3</f>
        <v>3.6611777319750772E-3</v>
      </c>
      <c r="N3" s="13">
        <v>52571.09</v>
      </c>
      <c r="O3" s="15">
        <f>(P3-N3)/N3</f>
        <v>7.5783096755270146E-3</v>
      </c>
      <c r="P3" s="13">
        <v>52969.49</v>
      </c>
      <c r="Q3" s="15">
        <f>(R3-P3)/P3</f>
        <v>7.7263345371080981E-3</v>
      </c>
      <c r="R3" s="18">
        <v>53378.75</v>
      </c>
      <c r="S3" s="15">
        <f>(T3-R3)/R3</f>
        <v>6.7296442872866293E-3</v>
      </c>
      <c r="T3" s="18">
        <v>53737.97</v>
      </c>
      <c r="U3" s="15">
        <f>(V3-T3)/T3</f>
        <v>9.4564420650798345E-3</v>
      </c>
      <c r="V3" s="13">
        <v>54246.14</v>
      </c>
      <c r="W3" s="15">
        <f>(X3-V3)/V3</f>
        <v>8.5252148816487051E-3</v>
      </c>
      <c r="X3" s="18">
        <v>54708.6</v>
      </c>
      <c r="Y3" s="15">
        <f>(Z3-X3)/X3</f>
        <v>6.1136640308836485E-3</v>
      </c>
      <c r="Z3" s="13">
        <v>55043.07</v>
      </c>
    </row>
    <row r="4" spans="1:26" ht="28" customHeight="1">
      <c r="A4" s="12"/>
      <c r="B4" s="13"/>
      <c r="C4" s="14" t="e">
        <f>(D4-B4)/B4</f>
        <v>#DIV/0!</v>
      </c>
      <c r="D4" s="13"/>
      <c r="E4" s="15" t="e">
        <f>(F4-D4)/D4</f>
        <v>#DIV/0!</v>
      </c>
      <c r="F4" s="13"/>
      <c r="G4" s="16" t="e">
        <f>(H4-F4)/F4</f>
        <v>#DIV/0!</v>
      </c>
      <c r="H4" s="13"/>
      <c r="I4" s="15" t="e">
        <f>(J4-H4)/H4</f>
        <v>#DIV/0!</v>
      </c>
      <c r="J4" s="13"/>
      <c r="K4" s="17" t="e">
        <f>(L4-J4)/J4</f>
        <v>#DIV/0!</v>
      </c>
      <c r="L4" s="13"/>
      <c r="M4" s="15"/>
      <c r="N4" s="13"/>
      <c r="O4" s="15"/>
      <c r="P4" s="13"/>
      <c r="Q4" s="15"/>
      <c r="R4" s="18"/>
      <c r="S4" s="15"/>
      <c r="T4" s="18"/>
      <c r="U4" s="15" t="e">
        <f>(V4-T4)/T4</f>
        <v>#DIV/0!</v>
      </c>
      <c r="V4" s="13"/>
      <c r="W4" s="15" t="e">
        <f>(X4-V4)/V4</f>
        <v>#DIV/0!</v>
      </c>
      <c r="X4" s="18"/>
      <c r="Y4" s="15" t="e">
        <f>(Z4-X4)/X4</f>
        <v>#DIV/0!</v>
      </c>
      <c r="Z4" s="13"/>
    </row>
    <row r="5" spans="1:26" ht="28" customHeight="1">
      <c r="A5" s="12" t="s">
        <v>61</v>
      </c>
      <c r="B5" s="13">
        <v>73208.460000000006</v>
      </c>
      <c r="C5" s="14">
        <f>(D5-B5)/B5</f>
        <v>1.0549873607503783E-2</v>
      </c>
      <c r="D5" s="13">
        <v>73980.800000000003</v>
      </c>
      <c r="E5" s="15">
        <f>(F5-D5)/D5</f>
        <v>1.0161149919979183E-2</v>
      </c>
      <c r="F5" s="13">
        <v>74732.53</v>
      </c>
      <c r="G5" s="16">
        <f>(H5-F5)/F5</f>
        <v>1.1492585625028289E-2</v>
      </c>
      <c r="H5" s="13">
        <v>75591.399999999994</v>
      </c>
      <c r="I5" s="15">
        <f>(J5-H5)/H5</f>
        <v>8.7119698801715936E-3</v>
      </c>
      <c r="J5" s="13">
        <v>76249.95</v>
      </c>
      <c r="K5" s="17">
        <f>(L5-J5)/J5</f>
        <v>1.0505711807024106E-2</v>
      </c>
      <c r="L5" s="13">
        <v>77051.009999999995</v>
      </c>
      <c r="M5" s="15">
        <f>(N5-L5)/L5</f>
        <v>1.0418812160930777E-2</v>
      </c>
      <c r="N5" s="13">
        <v>77853.789999999994</v>
      </c>
      <c r="O5" s="15">
        <f>(P5-N5)/N5</f>
        <v>9.9427401029545479E-3</v>
      </c>
      <c r="P5" s="13">
        <v>78627.87</v>
      </c>
      <c r="Q5" s="15">
        <f>(R5-P5)/P5</f>
        <v>1.4034336679856714E-2</v>
      </c>
      <c r="R5" s="18">
        <v>79731.360000000001</v>
      </c>
      <c r="S5" s="15">
        <f>(T5-R5)/R5</f>
        <v>6.4068893343848859E-3</v>
      </c>
      <c r="T5" s="18">
        <v>80242.19</v>
      </c>
      <c r="U5" s="15">
        <f>(V5-T5)/T5</f>
        <v>1.1145383743888368E-2</v>
      </c>
      <c r="V5" s="13">
        <v>81136.52</v>
      </c>
      <c r="W5" s="15">
        <f>(X5-V5)/V5</f>
        <v>9.9878575023921411E-3</v>
      </c>
      <c r="X5" s="18">
        <v>81946.899999999994</v>
      </c>
      <c r="Y5" s="15">
        <f>(Z5-X5)/X5</f>
        <v>1.0040404212972046E-2</v>
      </c>
      <c r="Z5" s="13">
        <v>82769.679999999993</v>
      </c>
    </row>
    <row r="6" spans="1:26" ht="28" customHeight="1">
      <c r="A6" s="12" t="s">
        <v>28</v>
      </c>
      <c r="B6" s="13">
        <v>37394.1</v>
      </c>
      <c r="C6" s="14">
        <f>(D6-B6)/B6</f>
        <v>7.0390783572809928E-3</v>
      </c>
      <c r="D6" s="13">
        <v>37657.32</v>
      </c>
      <c r="E6" s="15">
        <f>(F6-D6)/D6</f>
        <v>7.144693249546248E-3</v>
      </c>
      <c r="F6" s="13">
        <v>37926.370000000003</v>
      </c>
      <c r="G6" s="16">
        <f>(H6-F6)/F6</f>
        <v>7.6782987667946894E-3</v>
      </c>
      <c r="H6" s="13">
        <v>38217.58</v>
      </c>
      <c r="I6" s="15">
        <f>(J6-H6)/H6</f>
        <v>5.8428607986166477E-3</v>
      </c>
      <c r="J6" s="13">
        <v>38440.879999999997</v>
      </c>
      <c r="K6" s="17">
        <f>(L6-J6)/J6</f>
        <v>1.3739885767443412</v>
      </c>
      <c r="L6" s="13">
        <v>91258.21</v>
      </c>
      <c r="M6" s="15">
        <f>(N6-L6)/L6</f>
        <v>1.0356766804871577E-2</v>
      </c>
      <c r="N6" s="13">
        <v>92203.35</v>
      </c>
      <c r="O6" s="15">
        <f>(P6-N6)/N6</f>
        <v>7.7453801841255677E-3</v>
      </c>
      <c r="P6" s="13">
        <v>92917.5</v>
      </c>
      <c r="Q6" s="15">
        <f>(R6-P6)/P6</f>
        <v>8.7578766109720433E-3</v>
      </c>
      <c r="R6" s="18">
        <v>93731.26</v>
      </c>
      <c r="S6" s="15">
        <f>(T6-R6)/R6</f>
        <v>6.0046136155644022E-3</v>
      </c>
      <c r="T6" s="18">
        <v>94294.080000000002</v>
      </c>
      <c r="U6" s="15">
        <f>(V6-T6)/T6</f>
        <v>1.1455332084474426E-2</v>
      </c>
      <c r="V6" s="13">
        <v>95374.25</v>
      </c>
      <c r="W6" s="15">
        <f>(X6-V6)/V6</f>
        <v>1.0042438079460585E-2</v>
      </c>
      <c r="X6" s="13">
        <v>96332.04</v>
      </c>
      <c r="Y6" s="15">
        <f>(Z6-X6)/X6</f>
        <v>-0.14078763410387657</v>
      </c>
      <c r="Z6" s="13">
        <v>82769.679999999993</v>
      </c>
    </row>
    <row r="7" spans="1:26" ht="28" customHeight="1">
      <c r="A7" s="12"/>
      <c r="B7" s="13"/>
      <c r="C7" s="14" t="e">
        <f>(D7-B7)/B7</f>
        <v>#DIV/0!</v>
      </c>
      <c r="D7" s="13"/>
      <c r="E7" s="15" t="e">
        <f>(F7-D7)/D7</f>
        <v>#DIV/0!</v>
      </c>
      <c r="F7" s="13"/>
      <c r="G7" s="16" t="e">
        <f>(H7-F7)/F7</f>
        <v>#DIV/0!</v>
      </c>
      <c r="H7" s="13"/>
      <c r="I7" s="15" t="e">
        <f>(J7-H7)/H7</f>
        <v>#DIV/0!</v>
      </c>
      <c r="J7" s="13"/>
      <c r="K7" s="17"/>
      <c r="L7" s="13"/>
      <c r="M7" s="15"/>
      <c r="N7" s="13"/>
      <c r="O7" s="15"/>
      <c r="P7" s="13"/>
      <c r="Q7" s="15"/>
      <c r="R7" s="18"/>
      <c r="S7" s="15"/>
      <c r="T7" s="18"/>
      <c r="U7" s="15"/>
      <c r="V7" s="13"/>
      <c r="W7" s="15"/>
      <c r="X7" s="13"/>
      <c r="Y7" s="15"/>
      <c r="Z7" s="13"/>
    </row>
    <row r="8" spans="1:26" ht="18" customHeight="1">
      <c r="A8" s="19" t="s">
        <v>29</v>
      </c>
      <c r="B8" s="20"/>
      <c r="C8" s="21"/>
      <c r="D8" s="20"/>
      <c r="E8" s="22"/>
      <c r="F8" s="20">
        <v>50561.97</v>
      </c>
      <c r="G8" s="23"/>
      <c r="H8" s="20">
        <v>25886.82</v>
      </c>
      <c r="I8" s="22"/>
      <c r="J8" s="20">
        <v>25769.8</v>
      </c>
      <c r="K8" s="24"/>
      <c r="L8" s="20">
        <v>37842.49</v>
      </c>
      <c r="M8" s="22"/>
      <c r="N8" s="20">
        <v>43462.28</v>
      </c>
      <c r="O8" s="22"/>
      <c r="P8" s="20">
        <v>38083.620000000003</v>
      </c>
      <c r="Q8" s="22"/>
      <c r="R8" s="25">
        <v>34756.89</v>
      </c>
      <c r="S8" s="22"/>
      <c r="T8" s="25">
        <v>30958.59</v>
      </c>
      <c r="U8" s="22"/>
      <c r="V8" s="20">
        <v>35338.17</v>
      </c>
      <c r="W8" s="22"/>
      <c r="X8" s="20">
        <v>46168.72</v>
      </c>
      <c r="Y8" s="22"/>
      <c r="Z8" s="20">
        <v>51681.7</v>
      </c>
    </row>
    <row r="9" spans="1:26" ht="13.75" customHeight="1">
      <c r="A9" s="26" t="s">
        <v>30</v>
      </c>
      <c r="B9" s="27">
        <f>SUM(B3:B8)</f>
        <v>161558.22</v>
      </c>
      <c r="C9" s="14">
        <f t="shared" ref="C9:C14" si="0">(D9-B9)/B9</f>
        <v>7.9238308022953185E-3</v>
      </c>
      <c r="D9" s="27">
        <f>SUM(D3:D8)</f>
        <v>162838.38</v>
      </c>
      <c r="E9" s="15">
        <f t="shared" ref="E9:E14" si="1">(F9-D9)/D9</f>
        <v>0.31881138832258082</v>
      </c>
      <c r="F9" s="27">
        <f>SUM(F3:F8)</f>
        <v>214753.11</v>
      </c>
      <c r="G9" s="16">
        <f t="shared" ref="G9:G14" si="2">(H9-F9)/F9</f>
        <v>-0.1077405584487228</v>
      </c>
      <c r="H9" s="27">
        <f>SUM(H3:H8)</f>
        <v>191615.49</v>
      </c>
      <c r="I9" s="15">
        <f t="shared" ref="I9:I14" si="3">(J9-H9)/H9</f>
        <v>2.9285732588738181E-3</v>
      </c>
      <c r="J9" s="27">
        <f>SUM(J3:J8)</f>
        <v>192176.65</v>
      </c>
      <c r="K9" s="17">
        <f t="shared" ref="K9:K14" si="4">(L9-J9)/J9</f>
        <v>0.34527805537249179</v>
      </c>
      <c r="L9" s="27">
        <f>SUM(L3:L8)</f>
        <v>258531.02999999997</v>
      </c>
      <c r="M9" s="15">
        <f t="shared" ref="M9:M14" si="5">(N9-L9)/L9</f>
        <v>2.9240126417320354E-2</v>
      </c>
      <c r="N9" s="27">
        <f>SUM(N3:N8)</f>
        <v>266090.51</v>
      </c>
      <c r="O9" s="15">
        <f t="shared" ref="O9:O14" si="6">(P9-N9)/N9</f>
        <v>-1.3123466898537748E-2</v>
      </c>
      <c r="P9" s="27">
        <f>SUM(P3:P8)</f>
        <v>262598.48</v>
      </c>
      <c r="Q9" s="15">
        <f t="shared" ref="Q9:Q14" si="7">(R9-P9)/P9</f>
        <v>-3.8089329382255837E-3</v>
      </c>
      <c r="R9" s="27">
        <f>SUM(R3:R8)</f>
        <v>261598.26</v>
      </c>
      <c r="S9" s="15">
        <f t="shared" ref="S9:S14" si="8">(T9-R9)/R9</f>
        <v>-9.0422237517941515E-3</v>
      </c>
      <c r="T9" s="27">
        <f>SUM(T3:T8)</f>
        <v>259232.83</v>
      </c>
      <c r="U9" s="15">
        <f t="shared" ref="U9:U14" si="9">(V9-T9)/T9</f>
        <v>2.6471377101426656E-2</v>
      </c>
      <c r="V9" s="27">
        <f>SUM(V3:V8)</f>
        <v>266095.08</v>
      </c>
      <c r="W9" s="15">
        <f t="shared" ref="W9:W14" si="10">(X9-V9)/V9</f>
        <v>4.9084635461880737E-2</v>
      </c>
      <c r="X9" s="27">
        <f>SUM(X3:X8)</f>
        <v>279156.26</v>
      </c>
      <c r="Y9" s="15">
        <f t="shared" ref="Y9:Y14" si="11">(Z9-X9)/X9</f>
        <v>-2.468914721812079E-2</v>
      </c>
      <c r="Z9" s="27">
        <f>SUM(Z3:Z8)</f>
        <v>272264.13</v>
      </c>
    </row>
    <row r="10" spans="1:26" ht="28" customHeight="1">
      <c r="A10" s="12"/>
      <c r="B10" s="13"/>
      <c r="C10" s="14" t="e">
        <f t="shared" si="0"/>
        <v>#DIV/0!</v>
      </c>
      <c r="D10" s="13"/>
      <c r="E10" s="15" t="e">
        <f t="shared" si="1"/>
        <v>#DIV/0!</v>
      </c>
      <c r="F10" s="13"/>
      <c r="G10" s="16" t="e">
        <f t="shared" si="2"/>
        <v>#DIV/0!</v>
      </c>
      <c r="H10" s="13"/>
      <c r="I10" s="15" t="e">
        <f t="shared" si="3"/>
        <v>#DIV/0!</v>
      </c>
      <c r="J10" s="13"/>
      <c r="K10" s="17" t="e">
        <f t="shared" si="4"/>
        <v>#DIV/0!</v>
      </c>
      <c r="L10" s="13"/>
      <c r="M10" s="15" t="e">
        <f t="shared" si="5"/>
        <v>#DIV/0!</v>
      </c>
      <c r="N10" s="13"/>
      <c r="O10" s="15" t="e">
        <f t="shared" si="6"/>
        <v>#DIV/0!</v>
      </c>
      <c r="P10" s="13"/>
      <c r="Q10" s="15" t="e">
        <f t="shared" si="7"/>
        <v>#DIV/0!</v>
      </c>
      <c r="R10" s="18"/>
      <c r="S10" s="15" t="e">
        <f t="shared" si="8"/>
        <v>#DIV/0!</v>
      </c>
      <c r="T10" s="18"/>
      <c r="U10" s="15" t="e">
        <f t="shared" si="9"/>
        <v>#DIV/0!</v>
      </c>
      <c r="V10" s="13"/>
      <c r="W10" s="15" t="e">
        <f t="shared" si="10"/>
        <v>#DIV/0!</v>
      </c>
      <c r="X10" s="13"/>
      <c r="Y10" s="15" t="e">
        <f t="shared" si="11"/>
        <v>#DIV/0!</v>
      </c>
      <c r="Z10" s="13"/>
    </row>
    <row r="11" spans="1:26" ht="28" customHeight="1">
      <c r="A11" s="12"/>
      <c r="B11" s="13"/>
      <c r="C11" s="14" t="e">
        <f t="shared" si="0"/>
        <v>#DIV/0!</v>
      </c>
      <c r="D11" s="13"/>
      <c r="E11" s="15" t="e">
        <f t="shared" si="1"/>
        <v>#DIV/0!</v>
      </c>
      <c r="F11" s="13"/>
      <c r="G11" s="16" t="e">
        <f t="shared" si="2"/>
        <v>#DIV/0!</v>
      </c>
      <c r="H11" s="13"/>
      <c r="I11" s="15" t="e">
        <f t="shared" si="3"/>
        <v>#DIV/0!</v>
      </c>
      <c r="J11" s="13"/>
      <c r="K11" s="17" t="e">
        <f t="shared" si="4"/>
        <v>#DIV/0!</v>
      </c>
      <c r="L11" s="13"/>
      <c r="M11" s="15" t="e">
        <f t="shared" si="5"/>
        <v>#DIV/0!</v>
      </c>
      <c r="N11" s="13"/>
      <c r="O11" s="15" t="e">
        <f t="shared" si="6"/>
        <v>#DIV/0!</v>
      </c>
      <c r="P11" s="13"/>
      <c r="Q11" s="15" t="e">
        <f t="shared" si="7"/>
        <v>#DIV/0!</v>
      </c>
      <c r="R11" s="18"/>
      <c r="S11" s="15" t="e">
        <f t="shared" si="8"/>
        <v>#DIV/0!</v>
      </c>
      <c r="T11" s="18"/>
      <c r="U11" s="15" t="e">
        <f t="shared" si="9"/>
        <v>#DIV/0!</v>
      </c>
      <c r="V11" s="13"/>
      <c r="W11" s="15" t="e">
        <f t="shared" si="10"/>
        <v>#DIV/0!</v>
      </c>
      <c r="X11" s="13"/>
      <c r="Y11" s="15" t="e">
        <f t="shared" si="11"/>
        <v>#DIV/0!</v>
      </c>
      <c r="Z11" s="13"/>
    </row>
    <row r="12" spans="1:26" ht="27.5" customHeight="1">
      <c r="A12" s="12" t="s">
        <v>31</v>
      </c>
      <c r="B12" s="13">
        <v>1414674.82</v>
      </c>
      <c r="C12" s="14">
        <f t="shared" si="0"/>
        <v>8.1585886995571184E-3</v>
      </c>
      <c r="D12" s="13">
        <v>1426216.57</v>
      </c>
      <c r="E12" s="15">
        <f t="shared" si="1"/>
        <v>8.1108158770024866E-3</v>
      </c>
      <c r="F12" s="13">
        <v>1437784.35</v>
      </c>
      <c r="G12" s="16">
        <f t="shared" si="2"/>
        <v>-0.21608834454207279</v>
      </c>
      <c r="H12" s="13">
        <v>1127095.9099999999</v>
      </c>
      <c r="I12" s="15">
        <f t="shared" si="3"/>
        <v>6.9601086565917857E-3</v>
      </c>
      <c r="J12" s="13">
        <v>1134940.6200000001</v>
      </c>
      <c r="K12" s="17">
        <f t="shared" si="4"/>
        <v>-0.12332804688936071</v>
      </c>
      <c r="L12" s="13">
        <v>994970.61</v>
      </c>
      <c r="M12" s="15">
        <f t="shared" si="5"/>
        <v>7.3828914403813494E-3</v>
      </c>
      <c r="N12" s="13">
        <v>1002316.37</v>
      </c>
      <c r="O12" s="15">
        <f t="shared" si="6"/>
        <v>0.10809838414591584</v>
      </c>
      <c r="P12" s="13">
        <v>1110665.1499999999</v>
      </c>
      <c r="Q12" s="15">
        <f t="shared" si="7"/>
        <v>8.2472651635825504E-3</v>
      </c>
      <c r="R12" s="18">
        <v>1119825.1000000001</v>
      </c>
      <c r="S12" s="15">
        <f t="shared" si="8"/>
        <v>-0.17280998613086995</v>
      </c>
      <c r="T12" s="18">
        <v>926308.14</v>
      </c>
      <c r="U12" s="15">
        <f t="shared" si="9"/>
        <v>6.4898382518801655E-3</v>
      </c>
      <c r="V12" s="13">
        <v>932319.73</v>
      </c>
      <c r="W12" s="15">
        <f t="shared" si="10"/>
        <v>4.7062792503597524E-2</v>
      </c>
      <c r="X12" s="13">
        <v>976197.3</v>
      </c>
      <c r="Y12" s="15">
        <f t="shared" si="11"/>
        <v>4.358965139526572E-3</v>
      </c>
      <c r="Z12" s="13">
        <v>980452.51</v>
      </c>
    </row>
    <row r="13" spans="1:26" ht="28" customHeight="1">
      <c r="A13" s="12" t="s">
        <v>57</v>
      </c>
      <c r="B13" s="13">
        <v>91784.55</v>
      </c>
      <c r="C13" s="14">
        <f t="shared" si="0"/>
        <v>6.8561647902614722E-3</v>
      </c>
      <c r="D13" s="13">
        <v>92413.84</v>
      </c>
      <c r="E13" s="15">
        <f t="shared" si="1"/>
        <v>5.5723255304617409E-3</v>
      </c>
      <c r="F13" s="13">
        <v>92928.8</v>
      </c>
      <c r="G13" s="16">
        <f t="shared" si="2"/>
        <v>6.4166329490964432E-3</v>
      </c>
      <c r="H13" s="13">
        <v>93525.09</v>
      </c>
      <c r="I13" s="15">
        <f t="shared" si="3"/>
        <v>5.0225025177736849E-3</v>
      </c>
      <c r="J13" s="13">
        <v>93994.82</v>
      </c>
      <c r="K13" s="17">
        <f t="shared" si="4"/>
        <v>6.1470408688478109E-3</v>
      </c>
      <c r="L13" s="13">
        <v>94572.61</v>
      </c>
      <c r="M13" s="15">
        <f t="shared" si="5"/>
        <v>5.8721018696639175E-3</v>
      </c>
      <c r="N13" s="13">
        <v>95127.95</v>
      </c>
      <c r="O13" s="15">
        <f t="shared" si="6"/>
        <v>5.8768216912064531E-3</v>
      </c>
      <c r="P13" s="13">
        <v>95687</v>
      </c>
      <c r="Q13" s="15">
        <f t="shared" si="7"/>
        <v>6.1631151567088103E-3</v>
      </c>
      <c r="R13" s="18">
        <v>96276.73</v>
      </c>
      <c r="S13" s="15">
        <f t="shared" si="8"/>
        <v>1.0564858195744795E-2</v>
      </c>
      <c r="T13" s="18">
        <v>97293.88</v>
      </c>
      <c r="U13" s="15">
        <f t="shared" si="9"/>
        <v>1.0698206300334566E-2</v>
      </c>
      <c r="V13" s="13">
        <v>98334.75</v>
      </c>
      <c r="W13" s="15">
        <f t="shared" si="10"/>
        <v>2.0768649943178771E-2</v>
      </c>
      <c r="X13" s="13">
        <v>100377.03</v>
      </c>
      <c r="Y13" s="15">
        <f t="shared" si="11"/>
        <v>-0.61700928987438663</v>
      </c>
      <c r="Z13" s="13">
        <v>38443.47</v>
      </c>
    </row>
    <row r="14" spans="1:26" ht="28" customHeight="1">
      <c r="A14" s="12"/>
      <c r="B14" s="13"/>
      <c r="C14" s="14" t="e">
        <f t="shared" si="0"/>
        <v>#DIV/0!</v>
      </c>
      <c r="D14" s="13"/>
      <c r="E14" s="15" t="e">
        <f t="shared" si="1"/>
        <v>#DIV/0!</v>
      </c>
      <c r="F14" s="13"/>
      <c r="G14" s="16" t="e">
        <f t="shared" si="2"/>
        <v>#DIV/0!</v>
      </c>
      <c r="H14" s="13"/>
      <c r="I14" s="15" t="e">
        <f t="shared" si="3"/>
        <v>#DIV/0!</v>
      </c>
      <c r="J14" s="13"/>
      <c r="K14" s="17" t="e">
        <f t="shared" si="4"/>
        <v>#DIV/0!</v>
      </c>
      <c r="L14" s="13"/>
      <c r="M14" s="15" t="e">
        <f t="shared" si="5"/>
        <v>#DIV/0!</v>
      </c>
      <c r="N14" s="13"/>
      <c r="O14" s="15" t="e">
        <f t="shared" si="6"/>
        <v>#DIV/0!</v>
      </c>
      <c r="P14" s="13"/>
      <c r="Q14" s="15" t="e">
        <f t="shared" si="7"/>
        <v>#DIV/0!</v>
      </c>
      <c r="R14" s="18"/>
      <c r="S14" s="15" t="e">
        <f t="shared" si="8"/>
        <v>#DIV/0!</v>
      </c>
      <c r="T14" s="18"/>
      <c r="U14" s="15" t="e">
        <f t="shared" si="9"/>
        <v>#DIV/0!</v>
      </c>
      <c r="V14" s="13"/>
      <c r="W14" s="15" t="e">
        <f t="shared" si="10"/>
        <v>#DIV/0!</v>
      </c>
      <c r="X14" s="13"/>
      <c r="Y14" s="15" t="e">
        <f t="shared" si="11"/>
        <v>#DIV/0!</v>
      </c>
      <c r="Z14" s="13"/>
    </row>
    <row r="15" spans="1:26" ht="18.5" customHeight="1">
      <c r="A15" s="19" t="s">
        <v>29</v>
      </c>
      <c r="B15" s="20"/>
      <c r="C15" s="21"/>
      <c r="D15" s="20"/>
      <c r="E15" s="22"/>
      <c r="F15" s="20">
        <v>10269.18</v>
      </c>
      <c r="G15" s="23"/>
      <c r="H15" s="20">
        <v>97460.12</v>
      </c>
      <c r="I15" s="22"/>
      <c r="J15" s="20">
        <v>3017.98</v>
      </c>
      <c r="K15" s="24"/>
      <c r="L15" s="20">
        <v>20882.669999999998</v>
      </c>
      <c r="M15" s="22"/>
      <c r="N15" s="20">
        <v>20940.36</v>
      </c>
      <c r="O15" s="22"/>
      <c r="P15" s="20">
        <v>75275.86</v>
      </c>
      <c r="Q15" s="22"/>
      <c r="R15" s="25">
        <v>40277.550000000003</v>
      </c>
      <c r="S15" s="22"/>
      <c r="T15" s="25">
        <v>37942.339999999997</v>
      </c>
      <c r="U15" s="22"/>
      <c r="V15" s="20">
        <v>39805.360000000001</v>
      </c>
      <c r="W15" s="22"/>
      <c r="X15" s="20">
        <v>941.27</v>
      </c>
      <c r="Y15" s="22"/>
      <c r="Z15" s="20">
        <v>50658.69</v>
      </c>
    </row>
    <row r="16" spans="1:26" ht="14">
      <c r="A16" s="26" t="s">
        <v>32</v>
      </c>
      <c r="B16" s="27">
        <f>SUM(B10:B15)</f>
        <v>1506459.37</v>
      </c>
      <c r="C16" s="14">
        <f t="shared" ref="C16:C21" si="12">(D16-B16)/B16</f>
        <v>8.0792354857868072E-3</v>
      </c>
      <c r="D16" s="27">
        <f>SUM(D10:D15)</f>
        <v>1518630.4100000001</v>
      </c>
      <c r="E16" s="15">
        <f t="shared" ref="E16:E21" si="13">(F16-D16)/D16</f>
        <v>1.4718472547905795E-2</v>
      </c>
      <c r="F16" s="27">
        <f>SUM(F10:F15)</f>
        <v>1540982.33</v>
      </c>
      <c r="G16" s="16">
        <f t="shared" ref="G16:G21" si="14">(H16-F16)/F16</f>
        <v>-0.14464877738085416</v>
      </c>
      <c r="H16" s="27">
        <f>SUM(H10:H15)</f>
        <v>1318081.1200000001</v>
      </c>
      <c r="I16" s="15">
        <f t="shared" ref="I16:I21" si="15">(J16-H16)/H16</f>
        <v>-6.5343246855701836E-2</v>
      </c>
      <c r="J16" s="27">
        <f>SUM(J10:J15)</f>
        <v>1231953.4200000002</v>
      </c>
      <c r="K16" s="17">
        <f>(L16-J16)/J16</f>
        <v>-9.8646205308639226E-2</v>
      </c>
      <c r="L16" s="27">
        <f>SUM(L10:L15)</f>
        <v>1110425.8899999999</v>
      </c>
      <c r="M16" s="15">
        <f>(N16-L16)/L16</f>
        <v>7.1673310859135956E-3</v>
      </c>
      <c r="N16" s="27">
        <f>SUM(N10:N15)</f>
        <v>1118384.6800000002</v>
      </c>
      <c r="O16" s="15">
        <f>(P16-N16)/N16</f>
        <v>0.1459634890563771</v>
      </c>
      <c r="P16" s="27">
        <f>SUM(P10:P15)</f>
        <v>1281628.01</v>
      </c>
      <c r="Q16" s="15">
        <f>(R16-P16)/P16</f>
        <v>-1.9700435542135106E-2</v>
      </c>
      <c r="R16" s="27">
        <f>SUM(R10:R15)</f>
        <v>1256379.3800000001</v>
      </c>
      <c r="S16" s="15">
        <f>(T16-R16)/R16</f>
        <v>-0.15507658204323602</v>
      </c>
      <c r="T16" s="27">
        <f>SUM(T10:T15)</f>
        <v>1061544.3600000001</v>
      </c>
      <c r="U16" s="15">
        <f>(V16-T16)/T16</f>
        <v>8.3985939127404728E-3</v>
      </c>
      <c r="V16" s="27">
        <f>SUM(V10:V15)</f>
        <v>1070459.8400000001</v>
      </c>
      <c r="W16" s="15">
        <f>(X16-V16)/V16</f>
        <v>6.5913355516448039E-3</v>
      </c>
      <c r="X16" s="27">
        <f>SUM(X10:X15)</f>
        <v>1077515.6000000001</v>
      </c>
      <c r="Y16" s="15">
        <f>(Z16-X16)/X16</f>
        <v>-7.3882271402847133E-3</v>
      </c>
      <c r="Z16" s="27">
        <f>SUM(Z10:Z15)</f>
        <v>1069554.67</v>
      </c>
    </row>
    <row r="17" spans="1:61" ht="27.25" customHeight="1">
      <c r="A17" s="12"/>
      <c r="B17" s="13"/>
      <c r="C17" s="14" t="e">
        <f t="shared" si="12"/>
        <v>#DIV/0!</v>
      </c>
      <c r="D17" s="13"/>
      <c r="E17" s="15" t="e">
        <f t="shared" si="13"/>
        <v>#DIV/0!</v>
      </c>
      <c r="F17" s="13"/>
      <c r="G17" s="16" t="e">
        <f t="shared" si="14"/>
        <v>#DIV/0!</v>
      </c>
      <c r="H17" s="13"/>
      <c r="I17" s="15" t="e">
        <f t="shared" si="15"/>
        <v>#DIV/0!</v>
      </c>
      <c r="J17" s="13"/>
      <c r="K17" s="17" t="e">
        <f>(L17-J17)/J17</f>
        <v>#DIV/0!</v>
      </c>
      <c r="L17" s="13"/>
      <c r="M17" s="15" t="e">
        <f>(N17-L17)/L17</f>
        <v>#DIV/0!</v>
      </c>
      <c r="N17" s="13"/>
      <c r="O17" s="15" t="e">
        <f>(P17-N17)/N17</f>
        <v>#DIV/0!</v>
      </c>
      <c r="P17" s="13"/>
      <c r="Q17" s="15" t="e">
        <f>(R17-P17)/P17</f>
        <v>#DIV/0!</v>
      </c>
      <c r="R17" s="18"/>
      <c r="S17" s="15" t="e">
        <f>(T17-R17)/R17</f>
        <v>#DIV/0!</v>
      </c>
      <c r="T17" s="18"/>
      <c r="U17" s="15" t="e">
        <f>(V17-T17)/T17</f>
        <v>#DIV/0!</v>
      </c>
      <c r="V17" s="13"/>
      <c r="W17" s="15" t="e">
        <f>(X17-V17)/V17</f>
        <v>#DIV/0!</v>
      </c>
      <c r="X17" s="13"/>
      <c r="Y17" s="15" t="e">
        <f>(Z17-X17)/X17</f>
        <v>#DIV/0!</v>
      </c>
      <c r="Z17" s="13"/>
    </row>
    <row r="18" spans="1:61" ht="28" customHeight="1">
      <c r="A18" s="12" t="s">
        <v>33</v>
      </c>
      <c r="B18" s="13">
        <v>161004.20000000001</v>
      </c>
      <c r="C18" s="14">
        <f t="shared" si="12"/>
        <v>4.5792159459194112E-2</v>
      </c>
      <c r="D18" s="13">
        <v>168376.93</v>
      </c>
      <c r="E18" s="15">
        <f t="shared" si="13"/>
        <v>1.1255936309089493E-2</v>
      </c>
      <c r="F18" s="13">
        <v>170272.17</v>
      </c>
      <c r="G18" s="16">
        <f t="shared" si="14"/>
        <v>-5.3799631495857578E-2</v>
      </c>
      <c r="H18" s="13">
        <v>161111.59</v>
      </c>
      <c r="I18" s="15">
        <f t="shared" si="15"/>
        <v>0</v>
      </c>
      <c r="J18" s="13">
        <v>161111.59</v>
      </c>
      <c r="K18" s="17">
        <f>(L18-J18)/J18</f>
        <v>-0.62068781023140551</v>
      </c>
      <c r="L18" s="13">
        <v>61111.59</v>
      </c>
      <c r="M18" s="15">
        <f>(N18-L18)/L18</f>
        <v>0</v>
      </c>
      <c r="N18" s="13">
        <v>61111.59</v>
      </c>
      <c r="O18" s="15">
        <f>(P18-N18)/N18</f>
        <v>7.356575078475297E-2</v>
      </c>
      <c r="P18" s="13">
        <v>65607.31</v>
      </c>
      <c r="Q18" s="15">
        <f>(R18-P18)/P18</f>
        <v>1.1415038964408136E-2</v>
      </c>
      <c r="R18" s="18">
        <v>66356.22</v>
      </c>
      <c r="S18" s="15">
        <f>(T18-R18)/R18</f>
        <v>5.523973487338533E-3</v>
      </c>
      <c r="T18" s="18">
        <v>66722.77</v>
      </c>
      <c r="U18" s="15">
        <f>(V18-T18)/T18</f>
        <v>-1.110115782063709E-3</v>
      </c>
      <c r="V18" s="13">
        <v>66648.7</v>
      </c>
      <c r="W18" s="15">
        <f>(X18-V18)/V18</f>
        <v>2.7778486302058318E-3</v>
      </c>
      <c r="X18" s="13">
        <v>66833.84</v>
      </c>
      <c r="Y18" s="15">
        <f>(Z18-X18)/X18</f>
        <v>1.2592423239485191E-3</v>
      </c>
      <c r="Z18" s="13">
        <v>66918</v>
      </c>
    </row>
    <row r="19" spans="1:61" ht="28" customHeight="1">
      <c r="A19" s="12" t="s">
        <v>34</v>
      </c>
      <c r="B19" s="13">
        <v>33000</v>
      </c>
      <c r="C19" s="14">
        <f t="shared" si="12"/>
        <v>0</v>
      </c>
      <c r="D19" s="13">
        <v>33000</v>
      </c>
      <c r="E19" s="15">
        <f t="shared" si="13"/>
        <v>0</v>
      </c>
      <c r="F19" s="13">
        <v>33000</v>
      </c>
      <c r="G19" s="16">
        <f t="shared" si="14"/>
        <v>0</v>
      </c>
      <c r="H19" s="13">
        <v>33000</v>
      </c>
      <c r="I19" s="15">
        <f t="shared" si="15"/>
        <v>0</v>
      </c>
      <c r="J19" s="13">
        <v>33000</v>
      </c>
      <c r="K19" s="17">
        <f>(L19-J19)/J19</f>
        <v>0</v>
      </c>
      <c r="L19" s="13">
        <v>33000</v>
      </c>
      <c r="M19" s="15">
        <f>(N19-L19)/L19</f>
        <v>4.7575757575757578</v>
      </c>
      <c r="N19" s="13">
        <v>190000</v>
      </c>
      <c r="O19" s="15">
        <f>(P19-N19)/N19</f>
        <v>1.4724947368421004E-2</v>
      </c>
      <c r="P19" s="13">
        <v>192797.74</v>
      </c>
      <c r="Q19" s="15">
        <f>(R19-P19)/P19</f>
        <v>6.3008518668320919E-3</v>
      </c>
      <c r="R19" s="13">
        <v>194012.53</v>
      </c>
      <c r="S19" s="15">
        <f>(T19-R19)/R19</f>
        <v>0.26824349953067467</v>
      </c>
      <c r="T19" s="13">
        <v>246055.13</v>
      </c>
      <c r="U19" s="15">
        <f>(V19-T19)/T19</f>
        <v>-8.0928204992108833E-3</v>
      </c>
      <c r="V19" s="13">
        <v>244063.85</v>
      </c>
      <c r="W19" s="15">
        <f>(X19-V19)/V19</f>
        <v>1.0321356481101183E-2</v>
      </c>
      <c r="X19" s="13">
        <v>246582.92</v>
      </c>
      <c r="Y19" s="15">
        <f>(Z19-X19)/X19</f>
        <v>8.8924245036923113E-3</v>
      </c>
      <c r="Z19" s="13">
        <v>248775.64</v>
      </c>
    </row>
    <row r="20" spans="1:61" ht="28" customHeight="1">
      <c r="A20" s="12" t="s">
        <v>35</v>
      </c>
      <c r="B20" s="13">
        <v>10647.52</v>
      </c>
      <c r="C20" s="14">
        <f t="shared" si="12"/>
        <v>6.331990923708046E-2</v>
      </c>
      <c r="D20" s="13">
        <v>11321.72</v>
      </c>
      <c r="E20" s="15">
        <f t="shared" si="13"/>
        <v>9.9834654098494447E-3</v>
      </c>
      <c r="F20" s="13">
        <v>11434.75</v>
      </c>
      <c r="G20" s="16">
        <f t="shared" si="14"/>
        <v>1.0656988565556797E-2</v>
      </c>
      <c r="H20" s="13">
        <v>11556.61</v>
      </c>
      <c r="I20" s="15">
        <f t="shared" si="15"/>
        <v>9.0923886849171165</v>
      </c>
      <c r="J20" s="13">
        <v>116633.8</v>
      </c>
      <c r="K20" s="17">
        <f>(L20-J20)/J20</f>
        <v>0.81908760582266893</v>
      </c>
      <c r="L20" s="13">
        <v>212167.1</v>
      </c>
      <c r="M20" s="15">
        <f>(N20-L20)/L20</f>
        <v>-1.4633277261177683E-3</v>
      </c>
      <c r="N20" s="13">
        <v>211856.63</v>
      </c>
      <c r="O20" s="15">
        <f>(P20-N20)/N20</f>
        <v>3.515972098678246E-2</v>
      </c>
      <c r="P20" s="13">
        <v>219305.45</v>
      </c>
      <c r="Q20" s="15">
        <f>(R20-P20)/P20</f>
        <v>9.0978131186433466E-3</v>
      </c>
      <c r="R20" s="18">
        <v>221300.65</v>
      </c>
      <c r="S20" s="15">
        <f>(T20-R20)/R20</f>
        <v>9.2933301370782036E-3</v>
      </c>
      <c r="T20" s="18">
        <v>223357.27</v>
      </c>
      <c r="U20" s="15">
        <f>(V20-T20)/T20</f>
        <v>8.9598158143678053E-3</v>
      </c>
      <c r="V20" s="13">
        <v>225358.51</v>
      </c>
      <c r="W20" s="15">
        <f>(X20-V20)/V20</f>
        <v>8.0498402301294714E-4</v>
      </c>
      <c r="X20" s="13">
        <v>225539.92</v>
      </c>
      <c r="Y20" s="15">
        <f>(Z20-X20)/X20</f>
        <v>6.7305158217667183E-3</v>
      </c>
      <c r="Z20" s="13">
        <v>227057.92000000001</v>
      </c>
    </row>
    <row r="21" spans="1:61" ht="28" customHeight="1">
      <c r="A21" s="12" t="s">
        <v>62</v>
      </c>
      <c r="B21" s="13"/>
      <c r="C21" s="14" t="e">
        <f t="shared" si="12"/>
        <v>#DIV/0!</v>
      </c>
      <c r="D21" s="13"/>
      <c r="E21" s="15" t="e">
        <f t="shared" si="13"/>
        <v>#DIV/0!</v>
      </c>
      <c r="F21" s="13"/>
      <c r="G21" s="16" t="e">
        <f t="shared" si="14"/>
        <v>#DIV/0!</v>
      </c>
      <c r="H21" s="13"/>
      <c r="I21" s="15" t="e">
        <f t="shared" si="15"/>
        <v>#DIV/0!</v>
      </c>
      <c r="J21" s="13"/>
      <c r="K21" s="17"/>
      <c r="L21" s="13"/>
      <c r="M21" s="15"/>
      <c r="N21" s="13"/>
      <c r="O21" s="15"/>
      <c r="P21" s="13"/>
      <c r="Q21" s="15"/>
      <c r="R21" s="18"/>
      <c r="S21" s="15"/>
      <c r="T21" s="18"/>
      <c r="U21" s="15"/>
      <c r="V21" s="13"/>
      <c r="W21" s="15"/>
      <c r="X21" s="13"/>
      <c r="Y21" s="15"/>
      <c r="Z21" s="13">
        <v>19980.240000000002</v>
      </c>
    </row>
    <row r="22" spans="1:61" ht="14.5" customHeight="1">
      <c r="A22" s="19" t="s">
        <v>37</v>
      </c>
      <c r="B22" s="20"/>
      <c r="C22" s="21"/>
      <c r="D22" s="20"/>
      <c r="E22" s="22"/>
      <c r="F22" s="20">
        <v>55000</v>
      </c>
      <c r="G22" s="23"/>
      <c r="H22" s="20">
        <v>85986.28</v>
      </c>
      <c r="I22" s="22"/>
      <c r="J22" s="20">
        <v>625.33000000000004</v>
      </c>
      <c r="K22" s="24"/>
      <c r="L22" s="20">
        <v>207077.14</v>
      </c>
      <c r="M22" s="22"/>
      <c r="N22" s="20">
        <v>50077.14</v>
      </c>
      <c r="O22" s="22"/>
      <c r="P22" s="20">
        <v>50077.19</v>
      </c>
      <c r="Q22" s="22"/>
      <c r="R22" s="20">
        <v>50077.19</v>
      </c>
      <c r="S22" s="22"/>
      <c r="T22" s="25">
        <f>77.19+2000.06</f>
        <v>2077.25</v>
      </c>
      <c r="U22" s="22"/>
      <c r="V22" s="20">
        <v>6234.75</v>
      </c>
      <c r="W22" s="22"/>
      <c r="X22" s="20">
        <v>6234.75</v>
      </c>
      <c r="Y22" s="22"/>
      <c r="Z22" s="20">
        <v>1102.33</v>
      </c>
    </row>
    <row r="23" spans="1:61" ht="14">
      <c r="A23" s="26" t="s">
        <v>63</v>
      </c>
      <c r="B23" s="27">
        <f>SUM(B17:B22)</f>
        <v>204651.72</v>
      </c>
      <c r="C23" s="14">
        <f>(D23-B23)/B23</f>
        <v>3.9320119078403021E-2</v>
      </c>
      <c r="D23" s="27">
        <f>SUM(D17:D22)</f>
        <v>212698.65</v>
      </c>
      <c r="E23" s="15">
        <f>(F23-D23)/D23</f>
        <v>0.26802365694375613</v>
      </c>
      <c r="F23" s="27">
        <f>SUM(F17:F22)</f>
        <v>269706.92000000004</v>
      </c>
      <c r="G23" s="16">
        <f>(H23-F23)/F23</f>
        <v>8.1375590956286686E-2</v>
      </c>
      <c r="H23" s="27">
        <f>SUM(H17:H22)</f>
        <v>291654.48</v>
      </c>
      <c r="I23" s="15">
        <f>(J23-H23)/H23</f>
        <v>6.7601361720896758E-2</v>
      </c>
      <c r="J23" s="27">
        <f>SUM(J17:J22)</f>
        <v>311370.72000000003</v>
      </c>
      <c r="K23" s="17">
        <f>(L23-J23)/J23</f>
        <v>0.6486965441066519</v>
      </c>
      <c r="L23" s="27">
        <f>SUM(L17:L22)</f>
        <v>513355.83</v>
      </c>
      <c r="M23" s="15">
        <f>(N23-L23)/L23</f>
        <v>-6.0478518379742611E-4</v>
      </c>
      <c r="N23" s="27">
        <f>SUM(N17:N22)</f>
        <v>513045.36</v>
      </c>
      <c r="O23" s="15">
        <f>(P23-N23)/N23</f>
        <v>2.87349446060675E-2</v>
      </c>
      <c r="P23" s="27">
        <f>SUM(P17:P22)</f>
        <v>527787.68999999994</v>
      </c>
      <c r="Q23" s="15">
        <f>(R23-P23)/P23</f>
        <v>7.5009328087969236E-3</v>
      </c>
      <c r="R23" s="27">
        <f>SUM(R17:R22)</f>
        <v>531746.59000000008</v>
      </c>
      <c r="S23" s="15">
        <f>(T23-R23)/R23</f>
        <v>1.2159607831241488E-2</v>
      </c>
      <c r="T23" s="27">
        <f>SUM(T17:T22)</f>
        <v>538212.42000000004</v>
      </c>
      <c r="U23" s="15">
        <f>(V23-T23)/T23</f>
        <v>7.6055286869820167E-3</v>
      </c>
      <c r="V23" s="27">
        <f>SUM(V17:V22)</f>
        <v>542305.81000000006</v>
      </c>
      <c r="W23" s="15">
        <f>(X23-V23)/V23</f>
        <v>5.3210198872846205E-3</v>
      </c>
      <c r="X23" s="27">
        <f>SUM(X17:X22)</f>
        <v>545191.43000000005</v>
      </c>
      <c r="Y23" s="15">
        <f>(Z23-X23)/X23</f>
        <v>3.4194778153427599E-2</v>
      </c>
      <c r="Z23" s="27">
        <f>SUM(Z17:Z22)</f>
        <v>563834.13</v>
      </c>
    </row>
    <row r="24" spans="1:61" ht="14">
      <c r="A24" s="12"/>
      <c r="B24" s="13"/>
      <c r="C24" s="14" t="e">
        <f>(D24-B24)/B24</f>
        <v>#DIV/0!</v>
      </c>
      <c r="D24" s="13"/>
      <c r="E24" s="15" t="e">
        <f>(F24-D24)/D24</f>
        <v>#DIV/0!</v>
      </c>
      <c r="F24" s="13"/>
      <c r="G24" s="16" t="e">
        <f>(H24-F24)/F24</f>
        <v>#DIV/0!</v>
      </c>
      <c r="H24" s="13"/>
      <c r="I24" s="15" t="e">
        <f>(J24-H24)/H24</f>
        <v>#DIV/0!</v>
      </c>
      <c r="J24" s="13"/>
      <c r="K24" s="17" t="e">
        <f>(L24-J24)/J24</f>
        <v>#DIV/0!</v>
      </c>
      <c r="L24" s="13"/>
      <c r="M24" s="15" t="e">
        <f>(N24-L24)/L24</f>
        <v>#DIV/0!</v>
      </c>
      <c r="N24" s="13"/>
      <c r="O24" s="15" t="e">
        <f>(P24-N24)/N24</f>
        <v>#DIV/0!</v>
      </c>
      <c r="P24" s="13"/>
      <c r="Q24" s="15" t="e">
        <f>(R24-P24)/P24</f>
        <v>#DIV/0!</v>
      </c>
      <c r="R24" s="18"/>
      <c r="S24" s="15" t="e">
        <f>(T24-R24)/R24</f>
        <v>#DIV/0!</v>
      </c>
      <c r="T24" s="18"/>
      <c r="U24" s="15" t="e">
        <f>(V24-T24)/T24</f>
        <v>#DIV/0!</v>
      </c>
      <c r="V24" s="13"/>
      <c r="W24" s="15" t="e">
        <f>(X24-V24)/V24</f>
        <v>#DIV/0!</v>
      </c>
      <c r="X24" s="13"/>
      <c r="Y24" s="15" t="e">
        <f>(Z24-X24)/X24</f>
        <v>#DIV/0!</v>
      </c>
      <c r="Z24" s="13"/>
    </row>
    <row r="25" spans="1:61" s="31" customFormat="1" ht="23.25" customHeight="1">
      <c r="A25" s="28" t="s">
        <v>44</v>
      </c>
      <c r="B25" s="29">
        <f>SUM(B9+B16+B23)</f>
        <v>1872669.31</v>
      </c>
      <c r="C25" s="3">
        <f>(D25-B25)/B25</f>
        <v>1.1479939295849242E-2</v>
      </c>
      <c r="D25" s="29">
        <f>SUM(D9+D16+D23)</f>
        <v>1894167.44</v>
      </c>
      <c r="E25" s="85">
        <f>(F25-D25)/D25</f>
        <v>6.93048128839127E-2</v>
      </c>
      <c r="F25" s="29">
        <f>SUM(F9+F16+F23)</f>
        <v>2025442.3599999999</v>
      </c>
      <c r="G25" s="86">
        <f>(H25-F25)/F25</f>
        <v>-0.1106381867119634</v>
      </c>
      <c r="H25" s="29">
        <f>SUM(H9+H16+H23)</f>
        <v>1801351.09</v>
      </c>
      <c r="I25" s="85">
        <f>(J25-H25)/H25</f>
        <v>-3.6556060817661058E-2</v>
      </c>
      <c r="J25" s="29">
        <f>SUM(J9+J16+J23)</f>
        <v>1735500.79</v>
      </c>
      <c r="K25" s="87">
        <f>(L25-J25)/J25</f>
        <v>8.4593427353035058E-2</v>
      </c>
      <c r="L25" s="29">
        <f>SUM(L9+L16+L23)</f>
        <v>1882312.75</v>
      </c>
      <c r="M25" s="85">
        <f>(N25-L25)/L25</f>
        <v>8.079316256026146E-3</v>
      </c>
      <c r="N25" s="29">
        <f>SUM(N9+N16+N23)</f>
        <v>1897520.5500000003</v>
      </c>
      <c r="O25" s="85">
        <f>(P25-N25)/N25</f>
        <v>9.1958756388698729E-2</v>
      </c>
      <c r="P25" s="29">
        <f>SUM(P9+P16+P23)</f>
        <v>2072014.18</v>
      </c>
      <c r="Q25" s="85">
        <f>(R25-P25)/P25</f>
        <v>-1.075762425525472E-2</v>
      </c>
      <c r="R25" s="29">
        <f>SUM(R9+R16+R23)</f>
        <v>2049724.2300000002</v>
      </c>
      <c r="S25" s="85">
        <f>(T25-R25)/R25</f>
        <v>-9.3053795826963451E-2</v>
      </c>
      <c r="T25" s="29">
        <f>SUM(T9+T16+T23)</f>
        <v>1858989.6100000003</v>
      </c>
      <c r="U25" s="85">
        <f>(V25-T25)/T25</f>
        <v>1.0689204443697711E-2</v>
      </c>
      <c r="V25" s="29">
        <f>SUM(V9+V16+V23)</f>
        <v>1878860.7300000002</v>
      </c>
      <c r="W25" s="85">
        <f>(X25-V25)/V25</f>
        <v>1.2242823341142385E-2</v>
      </c>
      <c r="X25" s="29">
        <f>SUM(X9+X16+X23)</f>
        <v>1901863.29</v>
      </c>
      <c r="Y25" s="85">
        <f>(Z25-X25)/X25</f>
        <v>1.992593274146253E-3</v>
      </c>
      <c r="Z25" s="29">
        <f>SUM(Z9+Z16+Z23)</f>
        <v>1905652.9299999997</v>
      </c>
      <c r="AA25" s="30"/>
    </row>
    <row r="26" spans="1:61" ht="13">
      <c r="A26" s="32"/>
      <c r="B26" s="33"/>
      <c r="C26" s="34"/>
      <c r="D26" s="33"/>
      <c r="E26" s="34"/>
      <c r="F26" s="33"/>
      <c r="G26" s="35"/>
      <c r="H26" s="33"/>
      <c r="I26" s="34"/>
      <c r="K26" s="37"/>
      <c r="L26" s="33"/>
      <c r="M26" s="34"/>
      <c r="N26" s="33"/>
      <c r="O26" s="34"/>
      <c r="P26" s="33"/>
      <c r="Q26" s="34"/>
      <c r="R26" s="33"/>
      <c r="S26" s="34"/>
      <c r="T26" s="33"/>
      <c r="U26" s="34"/>
      <c r="V26" s="33"/>
      <c r="W26" s="34"/>
      <c r="X26" s="33"/>
      <c r="Y26" s="34"/>
      <c r="Z26" s="33"/>
      <c r="AA26" s="38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</row>
    <row r="27" spans="1:61" ht="13">
      <c r="A27" s="32"/>
      <c r="B27" s="33"/>
      <c r="C27" s="34"/>
      <c r="D27" s="33"/>
      <c r="E27" s="34"/>
      <c r="F27" s="33"/>
      <c r="G27" s="35"/>
      <c r="H27" s="33"/>
      <c r="I27" s="34"/>
      <c r="J27" s="33"/>
      <c r="K27" s="37"/>
      <c r="L27" s="33"/>
      <c r="M27" s="34"/>
      <c r="N27" s="33"/>
      <c r="O27" s="34"/>
      <c r="P27" s="33"/>
      <c r="Q27" s="34"/>
      <c r="R27" s="33"/>
      <c r="S27" s="34"/>
      <c r="T27" s="33"/>
      <c r="U27" s="34"/>
      <c r="V27" s="33"/>
      <c r="W27" s="34"/>
      <c r="X27" s="33"/>
      <c r="Y27" s="34"/>
      <c r="Z27" s="33"/>
      <c r="AA27" s="38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</row>
    <row r="28" spans="1:61" ht="25.25" customHeight="1">
      <c r="A28" s="1" t="s">
        <v>0</v>
      </c>
      <c r="B28" s="2" t="s">
        <v>1</v>
      </c>
      <c r="C28" s="3" t="s">
        <v>2</v>
      </c>
      <c r="D28" s="1" t="s">
        <v>3</v>
      </c>
      <c r="E28" s="3" t="s">
        <v>4</v>
      </c>
      <c r="F28" s="1" t="s">
        <v>5</v>
      </c>
      <c r="G28" s="4" t="s">
        <v>6</v>
      </c>
      <c r="H28" s="1" t="s">
        <v>7</v>
      </c>
      <c r="I28" s="3" t="s">
        <v>8</v>
      </c>
      <c r="J28" s="1" t="s">
        <v>9</v>
      </c>
      <c r="K28" s="5" t="s">
        <v>10</v>
      </c>
      <c r="L28" s="1" t="s">
        <v>11</v>
      </c>
      <c r="M28" s="3" t="s">
        <v>12</v>
      </c>
      <c r="N28" s="1" t="s">
        <v>13</v>
      </c>
      <c r="O28" s="3" t="s">
        <v>14</v>
      </c>
      <c r="P28" s="1" t="s">
        <v>15</v>
      </c>
      <c r="Q28" s="3" t="s">
        <v>16</v>
      </c>
      <c r="R28" s="1" t="s">
        <v>17</v>
      </c>
      <c r="S28" s="3" t="s">
        <v>18</v>
      </c>
      <c r="T28" s="1" t="s">
        <v>19</v>
      </c>
      <c r="U28" s="3" t="s">
        <v>20</v>
      </c>
      <c r="V28" s="1" t="s">
        <v>21</v>
      </c>
      <c r="W28" s="3" t="s">
        <v>22</v>
      </c>
      <c r="X28" s="1" t="s">
        <v>23</v>
      </c>
      <c r="Y28" s="3" t="s">
        <v>24</v>
      </c>
      <c r="Z28" s="1" t="s">
        <v>25</v>
      </c>
    </row>
    <row r="29" spans="1:61" ht="27.25" customHeight="1">
      <c r="A29" s="12" t="s">
        <v>58</v>
      </c>
      <c r="B29" s="40"/>
      <c r="C29" s="14" t="e">
        <f>(D29-B29)/B29</f>
        <v>#DIV/0!</v>
      </c>
      <c r="D29" s="40">
        <v>80156.73</v>
      </c>
      <c r="E29" s="15">
        <f>(F29-D29)/D29</f>
        <v>2.7126855100002502E-3</v>
      </c>
      <c r="F29" s="40">
        <v>80374.17</v>
      </c>
      <c r="G29" s="16">
        <f>(H29-F29)/F29</f>
        <v>0.37592898315466272</v>
      </c>
      <c r="H29" s="40">
        <v>110589.15</v>
      </c>
      <c r="I29" s="15">
        <f>(J29-H29)/H29</f>
        <v>2.5642660242890174E-3</v>
      </c>
      <c r="J29" s="40">
        <v>110872.73</v>
      </c>
      <c r="K29" s="17">
        <f>(L29-J29)/J29</f>
        <v>2.9454492551956373E-3</v>
      </c>
      <c r="L29" s="40">
        <v>111199.3</v>
      </c>
      <c r="M29" s="15">
        <f>(N29-L29)/L29</f>
        <v>-0.49310490263877566</v>
      </c>
      <c r="N29" s="40">
        <v>56366.38</v>
      </c>
      <c r="O29" s="15">
        <f>(P29-N29)/N29</f>
        <v>2.8006056092301935E-3</v>
      </c>
      <c r="P29" s="40">
        <v>56524.24</v>
      </c>
      <c r="Q29" s="15">
        <f>(R29-P29)/P29</f>
        <v>2.6003003313269353E-3</v>
      </c>
      <c r="R29" s="40">
        <v>56671.22</v>
      </c>
      <c r="S29" s="15">
        <f>(T29-R29)/R29</f>
        <v>2.7624250898427038E-3</v>
      </c>
      <c r="T29" s="40">
        <v>56827.77</v>
      </c>
      <c r="U29" s="15">
        <f>(V29-T29)/T29</f>
        <v>2.8503669948689385E-3</v>
      </c>
      <c r="V29" s="40">
        <v>56989.75</v>
      </c>
      <c r="W29" s="15">
        <f>(X29-V29)/V29</f>
        <v>2.3916581490531705E-3</v>
      </c>
      <c r="X29" s="40">
        <v>57126.05</v>
      </c>
      <c r="Y29" s="15">
        <f>(Z29-X29)/X29</f>
        <v>2.0211444691169635E-3</v>
      </c>
      <c r="Z29" s="40">
        <v>57241.51</v>
      </c>
    </row>
    <row r="30" spans="1:61" ht="28" customHeight="1">
      <c r="A30" s="12"/>
      <c r="B30" s="40"/>
      <c r="C30" s="14" t="e">
        <f>(D30-B30)/B30</f>
        <v>#DIV/0!</v>
      </c>
      <c r="D30" s="40"/>
      <c r="E30" s="15" t="e">
        <f>(F30-D30)/D30</f>
        <v>#DIV/0!</v>
      </c>
      <c r="F30" s="40"/>
      <c r="G30" s="16" t="e">
        <f>(H30-F30)/F30</f>
        <v>#DIV/0!</v>
      </c>
      <c r="H30" s="40"/>
      <c r="I30" s="15" t="e">
        <f>(J30-H30)/H30</f>
        <v>#DIV/0!</v>
      </c>
      <c r="J30" s="40"/>
      <c r="K30" s="17" t="e">
        <f>(L30-J30)/J30</f>
        <v>#DIV/0!</v>
      </c>
      <c r="L30" s="40"/>
      <c r="M30" s="15" t="e">
        <f>(N30-L30)/L30</f>
        <v>#DIV/0!</v>
      </c>
      <c r="N30" s="40"/>
      <c r="O30" s="15" t="e">
        <f>(P30-N30)/N30</f>
        <v>#DIV/0!</v>
      </c>
      <c r="P30" s="40"/>
      <c r="Q30" s="15" t="e">
        <f>(R30-P30)/P30</f>
        <v>#DIV/0!</v>
      </c>
      <c r="R30" s="40"/>
      <c r="S30" s="15" t="e">
        <f>(T30-R30)/R30</f>
        <v>#DIV/0!</v>
      </c>
      <c r="T30" s="40"/>
      <c r="U30" s="15" t="e">
        <f>(V30-T30)/T30</f>
        <v>#DIV/0!</v>
      </c>
      <c r="V30" s="40"/>
      <c r="W30" s="15" t="e">
        <f>(X30-V30)/V30</f>
        <v>#DIV/0!</v>
      </c>
      <c r="X30" s="40"/>
      <c r="Y30" s="15" t="e">
        <f>(Z30-X30)/X30</f>
        <v>#DIV/0!</v>
      </c>
      <c r="Z30" s="40"/>
    </row>
    <row r="31" spans="1:61" ht="28" customHeight="1">
      <c r="A31" s="12"/>
      <c r="B31" s="40"/>
      <c r="C31" s="14" t="e">
        <f>(D31-B31)/B31</f>
        <v>#DIV/0!</v>
      </c>
      <c r="D31" s="40"/>
      <c r="E31" s="15" t="e">
        <f>(F31-D31)/D31</f>
        <v>#DIV/0!</v>
      </c>
      <c r="F31" s="40"/>
      <c r="G31" s="16" t="e">
        <f>(H31-F31)/F31</f>
        <v>#DIV/0!</v>
      </c>
      <c r="H31" s="40"/>
      <c r="I31" s="15" t="e">
        <f>(J31-H31)/H31</f>
        <v>#DIV/0!</v>
      </c>
      <c r="J31" s="40"/>
      <c r="K31" s="17"/>
      <c r="L31" s="40"/>
      <c r="M31" s="15"/>
      <c r="N31" s="40"/>
      <c r="O31" s="15"/>
      <c r="P31" s="40"/>
      <c r="Q31" s="15"/>
      <c r="R31" s="40"/>
      <c r="S31" s="15"/>
      <c r="T31" s="40"/>
      <c r="U31" s="15"/>
      <c r="V31" s="40"/>
      <c r="W31" s="15"/>
      <c r="X31" s="40"/>
      <c r="Y31" s="15"/>
      <c r="Z31" s="40"/>
    </row>
    <row r="32" spans="1:61" ht="14.5" customHeight="1">
      <c r="A32" s="19" t="s">
        <v>29</v>
      </c>
      <c r="B32" s="41"/>
      <c r="C32" s="21"/>
      <c r="D32" s="41">
        <v>40307.129999999997</v>
      </c>
      <c r="E32" s="22"/>
      <c r="F32" s="41">
        <v>24484.59</v>
      </c>
      <c r="G32" s="23"/>
      <c r="H32" s="41">
        <v>41288.1</v>
      </c>
      <c r="I32" s="22"/>
      <c r="J32" s="41">
        <v>29622.73</v>
      </c>
      <c r="K32" s="24"/>
      <c r="L32" s="41">
        <v>20479.32</v>
      </c>
      <c r="M32" s="22"/>
      <c r="N32" s="41">
        <v>13056.78</v>
      </c>
      <c r="O32" s="22"/>
      <c r="P32" s="41">
        <f>150518.76-100000</f>
        <v>50518.760000000009</v>
      </c>
      <c r="Q32" s="22"/>
      <c r="R32" s="41">
        <f>146561.94-100000</f>
        <v>46561.94</v>
      </c>
      <c r="S32" s="22"/>
      <c r="T32" s="41">
        <v>71828.55</v>
      </c>
      <c r="U32" s="22"/>
      <c r="V32" s="41">
        <v>57370.52</v>
      </c>
      <c r="W32" s="22"/>
      <c r="X32" s="41">
        <v>48735.91</v>
      </c>
      <c r="Y32" s="22"/>
      <c r="Z32" s="41">
        <v>39524.19</v>
      </c>
    </row>
    <row r="33" spans="1:61" s="49" customFormat="1" ht="20.5" customHeight="1">
      <c r="A33" s="42" t="s">
        <v>45</v>
      </c>
      <c r="B33" s="43">
        <f>SUM(B29:B32)</f>
        <v>0</v>
      </c>
      <c r="C33" s="44" t="e">
        <f>(D33-B33)/B33</f>
        <v>#DIV/0!</v>
      </c>
      <c r="D33" s="43">
        <f>SUM(D29:D32)</f>
        <v>120463.85999999999</v>
      </c>
      <c r="E33" s="45">
        <f>(F33-D33)/D33</f>
        <v>-0.12954175634086434</v>
      </c>
      <c r="F33" s="43">
        <f>SUM(F29:F32)</f>
        <v>104858.76</v>
      </c>
      <c r="G33" s="46">
        <f>(H33-F33)/F33</f>
        <v>0.4483983026310821</v>
      </c>
      <c r="H33" s="43">
        <f>SUM(H29:H32)</f>
        <v>151877.25</v>
      </c>
      <c r="I33" s="45">
        <f>(J33-H33)/H33</f>
        <v>-7.4940716927650503E-2</v>
      </c>
      <c r="J33" s="43">
        <f>SUM(J29:J32)</f>
        <v>140495.46</v>
      </c>
      <c r="K33" s="47">
        <f>(L33-J33)/J33</f>
        <v>-6.2755337432255795E-2</v>
      </c>
      <c r="L33" s="43">
        <f>SUM(L29:L32)</f>
        <v>131678.62</v>
      </c>
      <c r="M33" s="45">
        <f>(N33-L33)/L33</f>
        <v>-0.47278335693372237</v>
      </c>
      <c r="N33" s="43">
        <f>SUM(N29:N32)</f>
        <v>69423.16</v>
      </c>
      <c r="O33" s="45">
        <f>(P33-N33)/N33</f>
        <v>0.54189178366412583</v>
      </c>
      <c r="P33" s="43">
        <f>SUM(P29:P32)</f>
        <v>107043</v>
      </c>
      <c r="Q33" s="45">
        <f>(R33-P33)/P33</f>
        <v>-3.5591678110665777E-2</v>
      </c>
      <c r="R33" s="43">
        <f>SUM(R29:R32)</f>
        <v>103233.16</v>
      </c>
      <c r="S33" s="45">
        <f>(T33-R33)/R33</f>
        <v>0.24626931888939566</v>
      </c>
      <c r="T33" s="43">
        <f>SUM(T29:T32)</f>
        <v>128656.32000000001</v>
      </c>
      <c r="U33" s="45">
        <f>(V33-T33)/T33</f>
        <v>-0.11111813240111341</v>
      </c>
      <c r="V33" s="43">
        <f>SUM(V29:V32)</f>
        <v>114360.26999999999</v>
      </c>
      <c r="W33" s="45">
        <f>(X33-V33)/V33</f>
        <v>-7.4311734311225258E-2</v>
      </c>
      <c r="X33" s="43">
        <f>SUM(X29:X32)</f>
        <v>105861.96</v>
      </c>
      <c r="Y33" s="45">
        <f>(Z33-X33)/X33</f>
        <v>-8.5925671506554335E-2</v>
      </c>
      <c r="Z33" s="43">
        <f>SUM(Z29:Z32)</f>
        <v>96765.700000000012</v>
      </c>
      <c r="AA33" s="48"/>
    </row>
    <row r="34" spans="1:61" ht="13">
      <c r="A34" s="32"/>
      <c r="B34" s="33"/>
      <c r="C34" s="34"/>
      <c r="D34" s="33"/>
      <c r="E34" s="34"/>
      <c r="F34" s="33"/>
      <c r="G34" s="35"/>
      <c r="H34" s="33"/>
      <c r="I34" s="34"/>
      <c r="J34" s="33"/>
      <c r="K34" s="37"/>
      <c r="L34" s="33"/>
      <c r="M34" s="34"/>
      <c r="N34" s="33"/>
      <c r="O34" s="34"/>
      <c r="P34" s="33"/>
      <c r="Q34" s="34"/>
      <c r="R34" s="33"/>
      <c r="S34" s="34"/>
      <c r="T34" s="33"/>
      <c r="U34" s="34"/>
      <c r="V34" s="33"/>
      <c r="W34" s="34"/>
      <c r="X34" s="33"/>
      <c r="Y34" s="34"/>
      <c r="Z34" s="33"/>
      <c r="AA34" s="38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</row>
    <row r="35" spans="1:61" ht="25.25" customHeight="1">
      <c r="A35" s="1" t="s">
        <v>0</v>
      </c>
      <c r="B35" s="2" t="s">
        <v>1</v>
      </c>
      <c r="C35" s="3" t="s">
        <v>2</v>
      </c>
      <c r="D35" s="1" t="s">
        <v>3</v>
      </c>
      <c r="E35" s="3" t="s">
        <v>4</v>
      </c>
      <c r="F35" s="1" t="s">
        <v>5</v>
      </c>
      <c r="G35" s="4" t="s">
        <v>6</v>
      </c>
      <c r="H35" s="1" t="s">
        <v>7</v>
      </c>
      <c r="I35" s="3" t="s">
        <v>8</v>
      </c>
      <c r="J35" s="1" t="s">
        <v>9</v>
      </c>
      <c r="K35" s="5" t="s">
        <v>10</v>
      </c>
      <c r="L35" s="1" t="s">
        <v>11</v>
      </c>
      <c r="M35" s="3" t="s">
        <v>12</v>
      </c>
      <c r="N35" s="1" t="s">
        <v>13</v>
      </c>
      <c r="O35" s="3" t="s">
        <v>14</v>
      </c>
      <c r="P35" s="1" t="s">
        <v>15</v>
      </c>
      <c r="Q35" s="3" t="s">
        <v>16</v>
      </c>
      <c r="R35" s="1" t="s">
        <v>17</v>
      </c>
      <c r="S35" s="3" t="s">
        <v>18</v>
      </c>
      <c r="T35" s="1" t="s">
        <v>19</v>
      </c>
      <c r="U35" s="3" t="s">
        <v>20</v>
      </c>
      <c r="V35" s="1" t="s">
        <v>21</v>
      </c>
      <c r="W35" s="3" t="s">
        <v>22</v>
      </c>
      <c r="X35" s="1" t="s">
        <v>23</v>
      </c>
      <c r="Y35" s="3" t="s">
        <v>24</v>
      </c>
      <c r="Z35" s="1" t="s">
        <v>25</v>
      </c>
    </row>
    <row r="36" spans="1:61" ht="27.25" customHeight="1">
      <c r="A36" s="12"/>
      <c r="B36" s="40"/>
      <c r="C36" s="14" t="e">
        <f>(D36-B36)/B36</f>
        <v>#DIV/0!</v>
      </c>
      <c r="D36" s="40"/>
      <c r="E36" s="15" t="e">
        <f>(F36-D36)/D36</f>
        <v>#DIV/0!</v>
      </c>
      <c r="F36" s="40"/>
      <c r="G36" s="16" t="e">
        <f>(H36-F36)/F36</f>
        <v>#DIV/0!</v>
      </c>
      <c r="H36" s="40"/>
      <c r="I36" s="15" t="e">
        <f>(J36-H36)/H36</f>
        <v>#DIV/0!</v>
      </c>
      <c r="J36" s="40"/>
      <c r="K36" s="17" t="e">
        <f>(L36-J36)/J36</f>
        <v>#DIV/0!</v>
      </c>
      <c r="L36" s="40"/>
      <c r="M36" s="15" t="e">
        <f>(N36-L36)/L36</f>
        <v>#DIV/0!</v>
      </c>
      <c r="N36" s="40"/>
      <c r="O36" s="15" t="e">
        <f>(P36-N36)/N36</f>
        <v>#DIV/0!</v>
      </c>
      <c r="P36" s="40"/>
      <c r="Q36" s="15" t="e">
        <f>(R36-P36)/P36</f>
        <v>#DIV/0!</v>
      </c>
      <c r="R36" s="40"/>
      <c r="S36" s="15" t="e">
        <f>(T36-R36)/R36</f>
        <v>#DIV/0!</v>
      </c>
      <c r="T36" s="40"/>
      <c r="U36" s="15" t="e">
        <f>(V36-T36)/T36</f>
        <v>#DIV/0!</v>
      </c>
      <c r="V36" s="40"/>
      <c r="W36" s="15" t="e">
        <f>(X36-V36)/V36</f>
        <v>#DIV/0!</v>
      </c>
      <c r="X36" s="40"/>
      <c r="Y36" s="15" t="e">
        <f>(Z36-X36)/X36</f>
        <v>#DIV/0!</v>
      </c>
      <c r="Z36" s="40"/>
    </row>
    <row r="37" spans="1:61" ht="28" customHeight="1">
      <c r="A37" s="12" t="s">
        <v>64</v>
      </c>
      <c r="B37" s="40"/>
      <c r="C37" s="14" t="e">
        <f>(D37-B37)/B37</f>
        <v>#DIV/0!</v>
      </c>
      <c r="D37" s="40"/>
      <c r="E37" s="15" t="e">
        <f>(F37-D37)/D37</f>
        <v>#DIV/0!</v>
      </c>
      <c r="F37" s="40"/>
      <c r="G37" s="16" t="e">
        <f>(H37-F37)/F37</f>
        <v>#DIV/0!</v>
      </c>
      <c r="H37" s="40"/>
      <c r="I37" s="15" t="e">
        <f>(J37-H37)/H37</f>
        <v>#DIV/0!</v>
      </c>
      <c r="J37" s="40">
        <v>200514</v>
      </c>
      <c r="K37" s="17">
        <f>(L37-J37)/J37</f>
        <v>4.8420060444657924E-3</v>
      </c>
      <c r="L37" s="40">
        <v>201484.89</v>
      </c>
      <c r="M37" s="15">
        <f>(N37-L37)/L37</f>
        <v>4.1100352487969992E-3</v>
      </c>
      <c r="N37" s="40">
        <v>202313</v>
      </c>
      <c r="O37" s="15">
        <f>(P37-N37)/N37</f>
        <v>4.3755468012436696E-3</v>
      </c>
      <c r="P37" s="40">
        <v>203198.23</v>
      </c>
      <c r="Q37" s="15">
        <f>(R37-P37)/P37</f>
        <v>4.2158831796910998E-3</v>
      </c>
      <c r="R37" s="40">
        <v>204054.89</v>
      </c>
      <c r="S37" s="15">
        <f>(T37-R37)/R37</f>
        <v>4.1982331322713397E-3</v>
      </c>
      <c r="T37" s="40">
        <v>204911.56</v>
      </c>
      <c r="U37" s="15">
        <f>(V37-T37)/T37</f>
        <v>5.0139679772093519E-3</v>
      </c>
      <c r="V37" s="40">
        <v>205938.98</v>
      </c>
      <c r="W37" s="15">
        <f>(X37-V37)/V37</f>
        <v>3.9758378913986991E-3</v>
      </c>
      <c r="X37" s="40">
        <v>206757.76000000001</v>
      </c>
      <c r="Y37" s="15">
        <f>(Z37-X37)/X37</f>
        <v>3.5768427748490744E-3</v>
      </c>
      <c r="Z37" s="40">
        <v>207497.3</v>
      </c>
    </row>
    <row r="38" spans="1:61" ht="28" customHeight="1">
      <c r="A38" s="12"/>
      <c r="B38" s="40"/>
      <c r="C38" s="14" t="e">
        <f>(D38-B38)/B38</f>
        <v>#DIV/0!</v>
      </c>
      <c r="D38" s="40"/>
      <c r="E38" s="15" t="e">
        <f>(F38-D38)/D38</f>
        <v>#DIV/0!</v>
      </c>
      <c r="F38" s="40"/>
      <c r="G38" s="16" t="e">
        <f>(H38-F38)/F38</f>
        <v>#DIV/0!</v>
      </c>
      <c r="H38" s="40"/>
      <c r="I38" s="15" t="e">
        <f>(J38-H38)/H38</f>
        <v>#DIV/0!</v>
      </c>
      <c r="J38" s="40"/>
      <c r="K38" s="17"/>
      <c r="L38" s="40"/>
      <c r="M38" s="15"/>
      <c r="N38" s="40"/>
      <c r="O38" s="15"/>
      <c r="P38" s="40"/>
      <c r="Q38" s="15"/>
      <c r="R38" s="40"/>
      <c r="S38" s="15"/>
      <c r="T38" s="40"/>
      <c r="U38" s="15"/>
      <c r="V38" s="40"/>
      <c r="W38" s="15"/>
      <c r="X38" s="40"/>
      <c r="Y38" s="15"/>
      <c r="Z38" s="40"/>
    </row>
    <row r="39" spans="1:61" ht="14.5" customHeight="1">
      <c r="A39" s="19" t="s">
        <v>29</v>
      </c>
      <c r="B39" s="41"/>
      <c r="C39" s="21"/>
      <c r="D39" s="41">
        <v>224313.93</v>
      </c>
      <c r="E39" s="22"/>
      <c r="F39" s="41">
        <v>224313.93</v>
      </c>
      <c r="G39" s="23"/>
      <c r="H39" s="41">
        <v>223713.93</v>
      </c>
      <c r="I39" s="22"/>
      <c r="J39" s="41">
        <v>24313.93</v>
      </c>
      <c r="K39" s="24"/>
      <c r="L39" s="41">
        <v>24313.93</v>
      </c>
      <c r="M39" s="22"/>
      <c r="N39" s="41">
        <v>24313.93</v>
      </c>
      <c r="O39" s="22"/>
      <c r="P39" s="41">
        <v>23938.93</v>
      </c>
      <c r="Q39" s="22"/>
      <c r="R39" s="41">
        <v>23338.93</v>
      </c>
      <c r="S39" s="22"/>
      <c r="T39" s="41">
        <v>23338.93</v>
      </c>
      <c r="U39" s="22"/>
      <c r="V39" s="41">
        <v>22582.71</v>
      </c>
      <c r="W39" s="22"/>
      <c r="X39" s="41">
        <v>22582.71</v>
      </c>
      <c r="Y39" s="22"/>
      <c r="Z39" s="41">
        <v>22582.71</v>
      </c>
    </row>
    <row r="40" spans="1:61" s="63" customFormat="1" ht="21" customHeight="1">
      <c r="A40" s="42" t="s">
        <v>47</v>
      </c>
      <c r="B40" s="43">
        <f>SUM(B36:B39)</f>
        <v>0</v>
      </c>
      <c r="C40" s="58" t="e">
        <f>(D40-B40)/B40</f>
        <v>#DIV/0!</v>
      </c>
      <c r="D40" s="43">
        <f>SUM(D36:D39)</f>
        <v>224313.93</v>
      </c>
      <c r="E40" s="59">
        <f>(F40-D40)/D40</f>
        <v>0</v>
      </c>
      <c r="F40" s="43">
        <f>SUM(F36:F39)</f>
        <v>224313.93</v>
      </c>
      <c r="G40" s="60">
        <f>(H40-F40)/F40</f>
        <v>-2.6748227361537468E-3</v>
      </c>
      <c r="H40" s="43">
        <f>SUM(H36:H39)</f>
        <v>223713.93</v>
      </c>
      <c r="I40" s="59">
        <f>(J40-H40)/H40</f>
        <v>4.9795736903821769E-3</v>
      </c>
      <c r="J40" s="43">
        <f>SUM(J36:J39)</f>
        <v>224827.93</v>
      </c>
      <c r="K40" s="61">
        <f>(L40-J40)/J40</f>
        <v>4.3183691634754362E-3</v>
      </c>
      <c r="L40" s="43">
        <f>SUM(L36:L39)</f>
        <v>225798.82</v>
      </c>
      <c r="M40" s="59">
        <f>(N40-L40)/L40</f>
        <v>3.6674682356621084E-3</v>
      </c>
      <c r="N40" s="43">
        <f>SUM(N36:N39)</f>
        <v>226626.93</v>
      </c>
      <c r="O40" s="59">
        <f>(P40-N40)/N40</f>
        <v>2.2514093978152133E-3</v>
      </c>
      <c r="P40" s="43">
        <f>SUM(P36:P39)</f>
        <v>227137.16</v>
      </c>
      <c r="Q40" s="59">
        <f>(R40-P40)/P40</f>
        <v>1.1299780273734314E-3</v>
      </c>
      <c r="R40" s="43">
        <f>SUM(R36:R39)</f>
        <v>227393.82</v>
      </c>
      <c r="S40" s="59">
        <f>(T40-R40)/R40</f>
        <v>3.7673407307198749E-3</v>
      </c>
      <c r="T40" s="43">
        <f>SUM(T36:T39)</f>
        <v>228250.49</v>
      </c>
      <c r="U40" s="59">
        <f>(V40-T40)/T40</f>
        <v>1.1881683145565718E-3</v>
      </c>
      <c r="V40" s="43">
        <f>SUM(V36:V39)</f>
        <v>228521.69</v>
      </c>
      <c r="W40" s="59">
        <f>(X40-V40)/V40</f>
        <v>3.5829421706097082E-3</v>
      </c>
      <c r="X40" s="43">
        <f>SUM(X36:X39)</f>
        <v>229340.47</v>
      </c>
      <c r="Y40" s="59">
        <f>(Z40-X40)/X40</f>
        <v>3.224638023982331E-3</v>
      </c>
      <c r="Z40" s="43">
        <f>SUM(Z36:Z39)</f>
        <v>230080.00999999998</v>
      </c>
      <c r="AA40" s="62"/>
    </row>
    <row r="41" spans="1:61" ht="13">
      <c r="A41" s="32"/>
      <c r="B41" s="33"/>
      <c r="C41" s="34"/>
      <c r="D41" s="33"/>
      <c r="E41" s="34"/>
      <c r="F41" s="33"/>
      <c r="G41" s="35"/>
      <c r="H41" s="33"/>
      <c r="I41" s="34"/>
      <c r="J41" s="33"/>
      <c r="K41" s="37"/>
      <c r="L41" s="33"/>
      <c r="M41" s="34"/>
      <c r="N41" s="33"/>
      <c r="O41" s="34"/>
      <c r="P41" s="33"/>
      <c r="Q41" s="34"/>
      <c r="R41" s="33"/>
      <c r="S41" s="34"/>
      <c r="T41" s="33"/>
      <c r="U41" s="34"/>
      <c r="V41" s="33"/>
      <c r="W41" s="34"/>
      <c r="X41" s="33"/>
      <c r="Y41" s="34"/>
      <c r="Z41" s="33"/>
      <c r="AA41" s="38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</row>
    <row r="42" spans="1:61" ht="13">
      <c r="A42" s="32"/>
      <c r="B42" s="33"/>
      <c r="C42" s="34"/>
      <c r="D42" s="33"/>
      <c r="E42" s="34"/>
      <c r="F42" s="33"/>
      <c r="G42" s="35"/>
      <c r="H42" s="33"/>
      <c r="I42" s="34"/>
      <c r="J42" s="33"/>
      <c r="K42" s="37"/>
      <c r="L42" s="33"/>
      <c r="M42" s="34"/>
      <c r="N42" s="33"/>
      <c r="O42" s="34"/>
      <c r="P42" s="33"/>
      <c r="Q42" s="34"/>
      <c r="R42" s="33"/>
      <c r="S42" s="34"/>
      <c r="T42" s="33"/>
      <c r="U42" s="34"/>
      <c r="V42" s="33"/>
      <c r="W42" s="34"/>
      <c r="X42" s="33"/>
      <c r="Y42" s="34"/>
      <c r="Z42" s="33"/>
      <c r="AA42" s="38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</row>
    <row r="43" spans="1:61" ht="33" customHeight="1">
      <c r="A43" s="64" t="s">
        <v>49</v>
      </c>
      <c r="B43" s="65">
        <f>B25+B33+B40</f>
        <v>1872669.31</v>
      </c>
      <c r="C43" s="14">
        <f>(D43-B43)/B43</f>
        <v>0.19559028283536078</v>
      </c>
      <c r="D43" s="65">
        <f>D25+D33+D40</f>
        <v>2238945.23</v>
      </c>
      <c r="E43" s="15">
        <f>(F43-D43)/D43</f>
        <v>5.1662639375952862E-2</v>
      </c>
      <c r="F43" s="65">
        <f>F25+F33+F40</f>
        <v>2354615.0499999998</v>
      </c>
      <c r="G43" s="16">
        <f>(H43-F43)/F43</f>
        <v>-7.5457251494251601E-2</v>
      </c>
      <c r="H43" s="65">
        <f>H25+H33+H40</f>
        <v>2176942.27</v>
      </c>
      <c r="I43" s="15">
        <f>(J43-H43)/H43</f>
        <v>-3.4965598789167641E-2</v>
      </c>
      <c r="J43" s="65">
        <f>J25+J33+J40</f>
        <v>2100824.1800000002</v>
      </c>
      <c r="K43" s="17">
        <f>(L43-J43)/J43</f>
        <v>6.6148329461820921E-2</v>
      </c>
      <c r="L43" s="65">
        <f>L25+L33+L40</f>
        <v>2239790.19</v>
      </c>
      <c r="M43" s="15">
        <f>(N43-L43)/L43</f>
        <v>-2.0635660521399021E-2</v>
      </c>
      <c r="N43" s="65">
        <f>N25+N33+N40</f>
        <v>2193570.64</v>
      </c>
      <c r="O43" s="15">
        <f>(P43-N43)/N43</f>
        <v>9.6930409316565116E-2</v>
      </c>
      <c r="P43" s="65">
        <f>P25+P33+P40</f>
        <v>2406194.34</v>
      </c>
      <c r="Q43" s="15">
        <f>(R43-P43)/P43</f>
        <v>-1.0740250515259665E-2</v>
      </c>
      <c r="R43" s="65">
        <f>R25+R33+R40</f>
        <v>2380351.21</v>
      </c>
      <c r="S43" s="15">
        <f>(T43-R43)/R43</f>
        <v>-6.9088456068631815E-2</v>
      </c>
      <c r="T43" s="65">
        <f>T25+T33+T40</f>
        <v>2215896.4200000004</v>
      </c>
      <c r="U43" s="15">
        <f>(V43-T43)/T43</f>
        <v>2.6383318043358803E-3</v>
      </c>
      <c r="V43" s="65">
        <f>V25+V33+V40</f>
        <v>2221742.6900000004</v>
      </c>
      <c r="W43" s="15">
        <f>(X43-V43)/V43</f>
        <v>6.8968517681945391E-3</v>
      </c>
      <c r="X43" s="65">
        <f>X25+X33+X40</f>
        <v>2237065.7200000002</v>
      </c>
      <c r="Y43" s="15">
        <f>(Z43-X43)/X43</f>
        <v>-2.041549320241043E-3</v>
      </c>
      <c r="Z43" s="65">
        <f>Z25+Z33+Z40</f>
        <v>2232498.6399999997</v>
      </c>
    </row>
    <row r="44" spans="1:61" ht="13"/>
    <row r="45" spans="1:61" ht="13">
      <c r="G45" s="36"/>
    </row>
    <row r="46" spans="1:61" ht="14">
      <c r="A46" s="1" t="s">
        <v>50</v>
      </c>
      <c r="B46" s="71" t="s">
        <v>51</v>
      </c>
      <c r="C46" s="72"/>
      <c r="D46" s="73" t="s">
        <v>52</v>
      </c>
      <c r="F46" s="74" t="s">
        <v>53</v>
      </c>
      <c r="G46" s="36"/>
      <c r="P46" s="75"/>
    </row>
    <row r="47" spans="1:61" ht="28">
      <c r="A47" s="76" t="s">
        <v>54</v>
      </c>
      <c r="B47" s="84">
        <v>147720.82</v>
      </c>
      <c r="C47" s="84"/>
      <c r="D47" s="77">
        <v>148732.87</v>
      </c>
      <c r="E47" s="78">
        <f>((D47-(B47))/(B47))</f>
        <v>6.8510992560154235E-3</v>
      </c>
      <c r="F47" s="79" t="d">
        <v>2024-04-04</v>
      </c>
      <c r="G47" s="36"/>
    </row>
    <row r="48" spans="1:61" ht="28">
      <c r="A48" s="76" t="s">
        <v>65</v>
      </c>
      <c r="B48" s="84">
        <v>159513.69</v>
      </c>
      <c r="C48" s="84"/>
      <c r="D48" s="77">
        <v>179595.49</v>
      </c>
      <c r="E48" s="78">
        <f>((D48-(B48))/(B48))</f>
        <v>0.12589389663043959</v>
      </c>
      <c r="F48" s="79" t="d">
        <v>2023-03-09</v>
      </c>
      <c r="G48" s="36"/>
    </row>
    <row r="49" spans="1:7" ht="14">
      <c r="A49" s="80" t="s">
        <v>56</v>
      </c>
      <c r="B49" s="81">
        <f>SUM(B47:B48)</f>
        <v>307234.51</v>
      </c>
      <c r="C49" s="82"/>
      <c r="D49" s="81">
        <f>SUM(D47:D48)</f>
        <v>328328.36</v>
      </c>
      <c r="F49" s="68"/>
      <c r="G49" s="36"/>
    </row>
    <row r="50" spans="1:7" ht="13">
      <c r="A50" s="83"/>
    </row>
    <row r="51" spans="1:7" ht="13">
      <c r="A51" s="83"/>
    </row>
    <row r="52" spans="1:7" ht="13"/>
    <row r="53" spans="1:7" ht="13"/>
    <row r="54" spans="1:7" ht="13"/>
    <row r="55" spans="1:7" ht="13"/>
    <row r="56" spans="1:7" ht="13"/>
    <row r="57" spans="1:7" ht="13"/>
    <row r="58" spans="1:7" ht="13"/>
    <row r="59" spans="1:7" ht="13"/>
    <row r="60" spans="1:7" ht="13"/>
    <row r="61" spans="1:7" ht="13"/>
    <row r="62" spans="1:7" ht="13"/>
    <row r="63" spans="1:7" ht="13"/>
    <row r="64" spans="1:7" ht="13"/>
  </sheetData>
  <mergeCells count="2">
    <mergeCell ref="B47:C47"/>
    <mergeCell ref="B48:C48"/>
  </mergeCells>
  <conditionalFormatting sqref="E1:E44 G1:G44 I1:I44 K1:K44 M1:M44 O1:O44 Q1:Q44 S1:S44 U1:U44 W1:W44 Y1:Y44 E50:E1048576 G50:G1048576 I47:I1048576 K47:K1048576 M47:M1048576 O47:O1048576 Q47:Q1048576 S47:S1048576 U47:U1048576 W47:W1048576 Y47:Y1048576">
    <cfRule type="cellIs" dxfId="0" priority="2" stopIfTrue="1" operator="equal">
      <formula>#DIV/0!</formula>
    </cfRule>
  </conditionalFormatting>
  <pageMargins left="0" right="0" top="0.39370078740157477" bottom="0.39370078740157477" header="0" footer="0"/>
  <pageSetup paperSize="0" fitToWidth="0" fitToHeight="0" orientation="portrait" horizontalDpi="0" verticalDpi="0" copies="0"/>
  <headerFooter>
    <oddHeader>&amp;C&amp;A</oddHeader>
    <oddFooter>&amp;CPágina &amp;P</oddFooter>
  </headerFooter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TotalTime>1075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Clemilton Silva</cp:lastModifiedBy>
  <cp:revision>230</cp:revision>
  <dcterms:created xsi:type="dcterms:W3CDTF">2016-10-02T20:31:15Z</dcterms:created>
  <dcterms:modified xsi:type="dcterms:W3CDTF">2026-08-18T15:42:52Z</dcterms:modified>
</cp:coreProperties>
</file>